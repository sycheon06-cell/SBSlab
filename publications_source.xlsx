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ong-Yong Cheon\Desktop\SBSlab-main\data\"/>
    </mc:Choice>
  </mc:AlternateContent>
  <xr:revisionPtr revIDLastSave="0" documentId="13_ncr:1_{173F0494-1496-43AB-88DA-22B89CF8F1F1}" xr6:coauthVersionLast="47" xr6:coauthVersionMax="47" xr10:uidLastSave="{00000000-0000-0000-0000-000000000000}"/>
  <bookViews>
    <workbookView xWindow="-108" yWindow="-108" windowWidth="23256" windowHeight="12456" xr2:uid="{BB1E42D7-1A00-48FC-902B-DD82F2A226BD}"/>
  </bookViews>
  <sheets>
    <sheet name="논문 update_25.09.03" sheetId="2" r:id="rId1"/>
    <sheet name="JCR update_25.09.03" sheetId="3" r:id="rId2"/>
  </sheets>
  <definedNames>
    <definedName name="_xlnm._FilterDatabase" localSheetId="0" hidden="1">'논문 update_25.09.03'!$A$1:$K$44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2" l="1"/>
  <c r="J2" i="2"/>
  <c r="A2" i="2"/>
  <c r="A3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18" i="2"/>
  <c r="K16" i="2"/>
  <c r="K17" i="2"/>
  <c r="K11" i="2"/>
  <c r="K12" i="2"/>
  <c r="K13" i="2"/>
  <c r="K14" i="2"/>
  <c r="K15" i="2"/>
  <c r="K5" i="2"/>
  <c r="K6" i="2"/>
  <c r="K7" i="2"/>
  <c r="K8" i="2"/>
  <c r="K9" i="2"/>
  <c r="K10" i="2"/>
  <c r="K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" i="2"/>
  <c r="M30" i="3"/>
  <c r="M28" i="3"/>
  <c r="M26" i="3"/>
  <c r="M24" i="3"/>
  <c r="M22" i="3"/>
  <c r="M20" i="3"/>
  <c r="M18" i="3"/>
  <c r="M16" i="3"/>
  <c r="M14" i="3"/>
  <c r="M12" i="3"/>
  <c r="M10" i="3"/>
  <c r="M8" i="3"/>
  <c r="M6" i="3"/>
  <c r="M4" i="3"/>
  <c r="C48" i="2"/>
  <c r="C47" i="2"/>
  <c r="C46" i="2"/>
</calcChain>
</file>

<file path=xl/sharedStrings.xml><?xml version="1.0" encoding="utf-8"?>
<sst xmlns="http://schemas.openxmlformats.org/spreadsheetml/2006/main" count="418" uniqueCount="227">
  <si>
    <t>0196-8904</t>
    <phoneticPr fontId="2" type="noConversion"/>
  </si>
  <si>
    <t>Experimental study of vacuum-based membrane dehumidifier for HVAC system: Parametric analysis and dehumidification performance</t>
    <phoneticPr fontId="2" type="noConversion"/>
  </si>
  <si>
    <t>Simplified effectiveness and number of transfer unit model for a vacuum membrane dehumidifier applied to air conditioning</t>
    <phoneticPr fontId="2" type="noConversion"/>
  </si>
  <si>
    <t>1359-4311</t>
    <phoneticPr fontId="2" type="noConversion"/>
  </si>
  <si>
    <t>2352-7102</t>
    <phoneticPr fontId="2" type="noConversion"/>
  </si>
  <si>
    <t>Journal of Building Engineering</t>
    <phoneticPr fontId="2" type="noConversion"/>
  </si>
  <si>
    <t>Experimental analysis on energy recovery ventilator with latent heat exchanger using hollow fiber membrane</t>
    <phoneticPr fontId="2" type="noConversion"/>
  </si>
  <si>
    <t>2024.11.01</t>
    <phoneticPr fontId="2" type="noConversion"/>
  </si>
  <si>
    <t>Impact of external electric resistance on the power generation in the thermoelectric energy harvesting blocks</t>
    <phoneticPr fontId="2" type="noConversion"/>
  </si>
  <si>
    <t>Renewable Energy</t>
    <phoneticPr fontId="2" type="noConversion"/>
  </si>
  <si>
    <t>Multi-objective optimization for capacity matching and energy performance of heat-pump-driven liquid-desiccant air-conditioning system</t>
    <phoneticPr fontId="2" type="noConversion"/>
  </si>
  <si>
    <t>0960-1481</t>
    <phoneticPr fontId="2" type="noConversion"/>
  </si>
  <si>
    <t>Design of a thermoelectric generator-assisted energy harvesting block considering melting temperature of phase change materials</t>
    <phoneticPr fontId="2" type="noConversion"/>
  </si>
  <si>
    <t>Development of empirical models to predict latent heat exchange performance for hollow fiber membrane-based ventilation system</t>
    <phoneticPr fontId="2" type="noConversion"/>
  </si>
  <si>
    <t>Applied Thermal Engineering</t>
    <phoneticPr fontId="2" type="noConversion"/>
  </si>
  <si>
    <t>Energy Conversion and Management</t>
    <phoneticPr fontId="2" type="noConversion"/>
  </si>
  <si>
    <t>논문</t>
    <phoneticPr fontId="2" type="noConversion"/>
  </si>
  <si>
    <t>발표지</t>
    <phoneticPr fontId="2" type="noConversion"/>
  </si>
  <si>
    <t>발표일자</t>
    <phoneticPr fontId="2" type="noConversion"/>
  </si>
  <si>
    <t>역할</t>
    <phoneticPr fontId="2" type="noConversion"/>
  </si>
  <si>
    <t>연번</t>
    <phoneticPr fontId="2" type="noConversion"/>
  </si>
  <si>
    <t>Exergy analysis on the low flow rate of solution in the atomization-based liquid desiccant system</t>
    <phoneticPr fontId="2" type="noConversion"/>
  </si>
  <si>
    <t>Design and energy performance of the heat pump-driven liquid desiccant system with an ultrasonic atomization</t>
    <phoneticPr fontId="2" type="noConversion"/>
  </si>
  <si>
    <t>Theoretical analysis of membrane based liquid desiccant air conditioning system</t>
    <phoneticPr fontId="2" type="noConversion"/>
  </si>
  <si>
    <t>Humidification Performance Evaluation of hollow-fiber membrane-based humidifier for air-conditioning</t>
    <phoneticPr fontId="2" type="noConversion"/>
  </si>
  <si>
    <t>Experimental investigation on a packaged unit of membrane dehumidification-based ventilation system</t>
    <phoneticPr fontId="2" type="noConversion"/>
  </si>
  <si>
    <t>Preliminary study on air-to-air latent heat exchanger fabricated using hollow fiber composite membrane for air-conditioning applications</t>
    <phoneticPr fontId="2" type="noConversion"/>
  </si>
  <si>
    <t>Performance Analysis of a Passive Mixing Strategy assisted Heat-Pump-driven Liquid-Desiccant Air-Conditioning System</t>
    <phoneticPr fontId="2" type="noConversion"/>
  </si>
  <si>
    <t>Phase-change material-integrated thermoelectric radiant panel: Experimental performance analysis and system design</t>
    <phoneticPr fontId="2" type="noConversion"/>
  </si>
  <si>
    <t>Energy impact of vacuum-based membrane dehumidification in building air-conditioning applications</t>
    <phoneticPr fontId="2" type="noConversion"/>
  </si>
  <si>
    <t>Energy saving potential of a vacuum-based membrane dehumidifier in a dedicated outdoor air system</t>
    <phoneticPr fontId="2" type="noConversion"/>
  </si>
  <si>
    <t>Phase-Change Material Design for Thermoelectric Generator-Assisted Building Integrated Photovoltaic</t>
    <phoneticPr fontId="2" type="noConversion"/>
  </si>
  <si>
    <t>Experimental Study on Dehumidification Performance of a Vacuum-Based Membrane Dehumidifier</t>
    <phoneticPr fontId="2" type="noConversion"/>
  </si>
  <si>
    <t>Energy Performance of Desiccant and Evaporative Cooling-assisted 100% Outdoor Air System Combined with a Thermoelectric Module and Organic Rankine Cycle</t>
    <phoneticPr fontId="2" type="noConversion"/>
  </si>
  <si>
    <t>Applicability of thermoelectric heat pump in a dedicated outdoor air system</t>
    <phoneticPr fontId="2" type="noConversion"/>
  </si>
  <si>
    <t>Experimental analysis of dehumidification performance of counter and cross-flow liquid desiccant dehumidifiers</t>
    <phoneticPr fontId="2" type="noConversion"/>
  </si>
  <si>
    <t>Numerical Study of Heat Transfer in an Air-to-Air Heat Exchanger Integrated with a Thermoelectric Heat Pump</t>
    <phoneticPr fontId="2" type="noConversion"/>
  </si>
  <si>
    <t>Energy-saving potential of dedicated outdoor-air system assisted by vacuum-based membrane dehumidifier</t>
    <phoneticPr fontId="2" type="noConversion"/>
  </si>
  <si>
    <t>A numerical model and validation of phase change material integrated thermoelectric radiant cooling panel</t>
    <phoneticPr fontId="2" type="noConversion"/>
  </si>
  <si>
    <t>Energy-Harvesting Benefit of a Thermoelectric Generator for a Liquid Desiccant System in an Organic Rankine Cycle</t>
    <phoneticPr fontId="2" type="noConversion"/>
  </si>
  <si>
    <t>Empirical analysis for the heat exchange effectiveness of a thermoelectric liquid cooling and heating unit</t>
    <phoneticPr fontId="2" type="noConversion"/>
  </si>
  <si>
    <t>Empirical Study on The Heat Exchange Effectiveness of A Cross-flow Thermoelectric Air To Air Heat Pump Unit</t>
    <phoneticPr fontId="2" type="noConversion"/>
  </si>
  <si>
    <t>Energy Saving Potential of a Dedicated Outdoor Air System with Desiccant Wheel Assisted by Thermoelectric Modules</t>
    <phoneticPr fontId="2" type="noConversion"/>
  </si>
  <si>
    <t>Energy Performance Of Thermoelectric Ceiling Radiant Panels With A Dedicated Outdoor Air System In High-Speed Train Cabins</t>
    <phoneticPr fontId="2" type="noConversion"/>
  </si>
  <si>
    <t>Energy Benefit Of Thermoelectric Module In A Dedicated Outdoor Air System With Desiccant Wheel</t>
    <phoneticPr fontId="2" type="noConversion"/>
  </si>
  <si>
    <t>Microorganism contaminants removal in a liquid desiccant dehumidification system</t>
    <phoneticPr fontId="2" type="noConversion"/>
  </si>
  <si>
    <t>Purdue conference</t>
    <phoneticPr fontId="2" type="noConversion"/>
  </si>
  <si>
    <t>Journal</t>
    <phoneticPr fontId="2" type="noConversion"/>
  </si>
  <si>
    <t>Conference paper</t>
    <phoneticPr fontId="2" type="noConversion"/>
  </si>
  <si>
    <t>논문 구분</t>
    <phoneticPr fontId="2" type="noConversion"/>
  </si>
  <si>
    <t>Journal paper</t>
    <phoneticPr fontId="2" type="noConversion"/>
  </si>
  <si>
    <t>Journal of Physics: Conference</t>
    <phoneticPr fontId="2" type="noConversion"/>
  </si>
  <si>
    <t>IEA</t>
    <phoneticPr fontId="2" type="noConversion"/>
  </si>
  <si>
    <t>E3S Web of Conferences</t>
  </si>
  <si>
    <t>E3S Web of Conferences</t>
    <phoneticPr fontId="2" type="noConversion"/>
  </si>
  <si>
    <t xml:space="preserve">Energy Conversion and Management </t>
    <phoneticPr fontId="2" type="noConversion"/>
  </si>
  <si>
    <t>CLIMA</t>
    <phoneticPr fontId="2" type="noConversion"/>
  </si>
  <si>
    <t>Energy conversion and management</t>
    <phoneticPr fontId="2" type="noConversion"/>
  </si>
  <si>
    <t xml:space="preserve">ASHRAE </t>
    <phoneticPr fontId="2" type="noConversion"/>
  </si>
  <si>
    <t>Building Simulation</t>
    <phoneticPr fontId="2" type="noConversion"/>
  </si>
  <si>
    <t>IBPSA</t>
    <phoneticPr fontId="2" type="noConversion"/>
  </si>
  <si>
    <t>EDP Sciences</t>
    <phoneticPr fontId="2" type="noConversion"/>
  </si>
  <si>
    <t xml:space="preserve">Energies </t>
    <phoneticPr fontId="2" type="noConversion"/>
  </si>
  <si>
    <t>Purdue</t>
    <phoneticPr fontId="2" type="noConversion"/>
  </si>
  <si>
    <t>Roomvent and Ventilation</t>
    <phoneticPr fontId="2" type="noConversion"/>
  </si>
  <si>
    <t xml:space="preserve">ASIM </t>
    <phoneticPr fontId="2" type="noConversion"/>
  </si>
  <si>
    <t>Proceedings of 2017 AIVC</t>
    <phoneticPr fontId="2" type="noConversion"/>
  </si>
  <si>
    <t>2025.04.15</t>
    <phoneticPr fontId="2" type="noConversion"/>
  </si>
  <si>
    <t>2024.04.01</t>
    <phoneticPr fontId="2" type="noConversion"/>
  </si>
  <si>
    <t>2024.01.10</t>
    <phoneticPr fontId="2" type="noConversion"/>
  </si>
  <si>
    <t>-</t>
    <phoneticPr fontId="2" type="noConversion"/>
  </si>
  <si>
    <t>2023.11.01</t>
    <phoneticPr fontId="2" type="noConversion"/>
  </si>
  <si>
    <t>2023.08.01</t>
    <phoneticPr fontId="2" type="noConversion"/>
  </si>
  <si>
    <t>2023.07.25</t>
    <phoneticPr fontId="2" type="noConversion"/>
  </si>
  <si>
    <t>2023.07.05</t>
    <phoneticPr fontId="2" type="noConversion"/>
  </si>
  <si>
    <t>2023.02.15</t>
    <phoneticPr fontId="2" type="noConversion"/>
  </si>
  <si>
    <t>2022.10.15</t>
    <phoneticPr fontId="2" type="noConversion"/>
  </si>
  <si>
    <t>2022.08.01</t>
    <phoneticPr fontId="2" type="noConversion"/>
  </si>
  <si>
    <t>2022.06.25</t>
    <phoneticPr fontId="2" type="noConversion"/>
  </si>
  <si>
    <t>2022.06.01</t>
    <phoneticPr fontId="2" type="noConversion"/>
  </si>
  <si>
    <t>2022.01.01</t>
    <phoneticPr fontId="2" type="noConversion"/>
  </si>
  <si>
    <t>2021.07.25</t>
    <phoneticPr fontId="2" type="noConversion"/>
  </si>
  <si>
    <t>2021.01.05</t>
    <phoneticPr fontId="2" type="noConversion"/>
  </si>
  <si>
    <t>2021.01.01</t>
    <phoneticPr fontId="2" type="noConversion"/>
  </si>
  <si>
    <t>2019.04.15</t>
    <phoneticPr fontId="2" type="noConversion"/>
  </si>
  <si>
    <t>2019.03.05</t>
    <phoneticPr fontId="2" type="noConversion"/>
  </si>
  <si>
    <t>2018.03.07</t>
    <phoneticPr fontId="2" type="noConversion"/>
  </si>
  <si>
    <t>공동저자</t>
    <phoneticPr fontId="2" type="noConversion"/>
  </si>
  <si>
    <t>제1저자</t>
    <phoneticPr fontId="2" type="noConversion"/>
  </si>
  <si>
    <t>총저자수</t>
    <phoneticPr fontId="2" type="noConversion"/>
  </si>
  <si>
    <t>IF</t>
    <phoneticPr fontId="2" type="noConversion"/>
  </si>
  <si>
    <t>Top %</t>
    <phoneticPr fontId="2" type="noConversion"/>
  </si>
  <si>
    <t>Rank</t>
    <phoneticPr fontId="2" type="noConversion"/>
  </si>
  <si>
    <t>Number</t>
    <phoneticPr fontId="2" type="noConversion"/>
  </si>
  <si>
    <t>Total paper</t>
    <phoneticPr fontId="2" type="noConversion"/>
  </si>
  <si>
    <t>JCR (25.09.03)</t>
    <phoneticPr fontId="2" type="noConversion"/>
  </si>
  <si>
    <t>CATEGORY</t>
    <phoneticPr fontId="2" type="noConversion"/>
  </si>
  <si>
    <t>ISSN / EISSN</t>
    <phoneticPr fontId="2" type="noConversion"/>
  </si>
  <si>
    <t>0360-5442</t>
    <phoneticPr fontId="2" type="noConversion"/>
  </si>
  <si>
    <t>1996-1073</t>
    <phoneticPr fontId="2" type="noConversion"/>
  </si>
  <si>
    <t>ENERGY &amp; FUELS</t>
    <phoneticPr fontId="2" type="noConversion"/>
  </si>
  <si>
    <t>JIF Quartile</t>
    <phoneticPr fontId="2" type="noConversion"/>
  </si>
  <si>
    <t>Q3</t>
    <phoneticPr fontId="2" type="noConversion"/>
  </si>
  <si>
    <t>112/182</t>
    <phoneticPr fontId="2" type="noConversion"/>
  </si>
  <si>
    <t>Energy</t>
    <phoneticPr fontId="2" type="noConversion"/>
  </si>
  <si>
    <t>31/182</t>
    <phoneticPr fontId="2" type="noConversion"/>
  </si>
  <si>
    <t>THERMODYNAMICS</t>
    <phoneticPr fontId="2" type="noConversion"/>
  </si>
  <si>
    <t>3/79</t>
    <phoneticPr fontId="2" type="noConversion"/>
  </si>
  <si>
    <t>4/171</t>
    <phoneticPr fontId="2" type="noConversion"/>
  </si>
  <si>
    <t>MECHANICS</t>
    <phoneticPr fontId="2" type="noConversion"/>
  </si>
  <si>
    <t>21/182</t>
    <phoneticPr fontId="2" type="noConversion"/>
  </si>
  <si>
    <t>2/79</t>
    <phoneticPr fontId="2" type="noConversion"/>
  </si>
  <si>
    <t>Selectied CATEGORY</t>
    <phoneticPr fontId="2" type="noConversion"/>
  </si>
  <si>
    <t>GREEN &amp; SUSTAINABLE SCIENCE &amp; TECHNOLOGY</t>
    <phoneticPr fontId="2" type="noConversion"/>
  </si>
  <si>
    <t>18/102</t>
    <phoneticPr fontId="2" type="noConversion"/>
  </si>
  <si>
    <t>34/182</t>
    <phoneticPr fontId="2" type="noConversion"/>
  </si>
  <si>
    <t>CONSTRUCTION &amp; BUILDING TECHNOLOGY</t>
    <phoneticPr fontId="2" type="noConversion"/>
  </si>
  <si>
    <t>ENGINEERING, CIVIL</t>
    <phoneticPr fontId="2" type="noConversion"/>
  </si>
  <si>
    <t>10/183</t>
    <phoneticPr fontId="2" type="noConversion"/>
  </si>
  <si>
    <t>10/95</t>
    <phoneticPr fontId="2" type="noConversion"/>
  </si>
  <si>
    <t>ENGINEERING, MECHANICAL</t>
    <phoneticPr fontId="2" type="noConversion"/>
  </si>
  <si>
    <t>50/182</t>
    <phoneticPr fontId="2" type="noConversion"/>
  </si>
  <si>
    <t>9/182</t>
    <phoneticPr fontId="2" type="noConversion"/>
  </si>
  <si>
    <t>9/171</t>
    <phoneticPr fontId="2" type="noConversion"/>
  </si>
  <si>
    <t>5/79</t>
    <phoneticPr fontId="2" type="noConversion"/>
  </si>
  <si>
    <t>Q1</t>
    <phoneticPr fontId="2" type="noConversion"/>
  </si>
  <si>
    <t>File link</t>
    <phoneticPr fontId="2" type="noConversion"/>
  </si>
  <si>
    <t>https://www.dropbox.com/scl/fi/pho0s91qo0n50588yvl10/energies-11-00580.pdf?rlkey=yupqqxywcf3514a6v32yamq52&amp;dl=0</t>
    <phoneticPr fontId="2" type="noConversion"/>
  </si>
  <si>
    <t>Energies</t>
    <phoneticPr fontId="2" type="noConversion"/>
  </si>
  <si>
    <t>https://www.dropbox.com/scl/fi/zg3fswjb4vg2nyx5ka8pj/ATE_150_2019_210_223.pdf?rlkey=03zq1uruc4uilqep7t1sjo0qg&amp;dl=0</t>
    <phoneticPr fontId="2" type="noConversion"/>
  </si>
  <si>
    <t>https://www.dropbox.com/scl/fi/ccui3ey4v9dz32glo3gie/ATE_182_2021_116094.pdf?rlkey=087cmdwae8wkud8hz5elqoerq&amp;dl=0</t>
    <phoneticPr fontId="2" type="noConversion"/>
  </si>
  <si>
    <t>https://www.dropbox.com/scl/fi/unvnitg0skd2epjoalwm9/ATE_194_2021_117082.pdf?rlkey=raxctc5uskgcmg5qe2erfqa2q&amp;dl=0</t>
    <phoneticPr fontId="2" type="noConversion"/>
  </si>
  <si>
    <t>https://www.dropbox.com/scl/fi/p0u1ef1wxlms0o7j5and4/ATE_210_2022_118404.pdf?rlkey=tafi2mwrnjd67b5mdk73cyw54&amp;dl=0</t>
    <phoneticPr fontId="2" type="noConversion"/>
  </si>
  <si>
    <t>https://www.dropbox.com/scl/fi/eurjrmbhd6wfc760kr4r3/ATE_213_2022_118686.pdf?rlkey=rvawo37q9wc6j1d6ejjs9lnjx&amp;dl=0</t>
    <phoneticPr fontId="2" type="noConversion"/>
  </si>
  <si>
    <t>https://www.dropbox.com/scl/fi/0lxhtwebs5ujjz4o9a98a/ATE_229_2023_120615.pdf?rlkey=vm0ak60aomtad4d73lmzx850a&amp;dl=0</t>
    <phoneticPr fontId="2" type="noConversion"/>
  </si>
  <si>
    <t>https://www.dropbox.com/scl/fi/i62yc6j3j3g1gqn64nnf8/ATE_230_2023_120870.pdf?rlkey=hp9vook17dsfgul97tnuvbokd&amp;dl=0</t>
    <phoneticPr fontId="2" type="noConversion"/>
  </si>
  <si>
    <t>https://www.dropbox.com/scl/fi/folykm8yzjyj7ahtahk4a/ATE_231_2023_120989.pdf?rlkey=z79bhqj6c75stbhmdnrvzidj8&amp;dl=0</t>
    <phoneticPr fontId="2" type="noConversion"/>
  </si>
  <si>
    <t>https://www.dropbox.com/scl/fi/qu5jjqnew2yp882jz54or/ATE_236_2024_121848.pdf?rlkey=jzjdopdzhh0q2kos4j8z8bjkg&amp;dl=0</t>
    <phoneticPr fontId="2" type="noConversion"/>
  </si>
  <si>
    <t>System design and performance assessment of hollow fiber membrane-based humidifier for HVAC applications</t>
    <phoneticPr fontId="2" type="noConversion"/>
  </si>
  <si>
    <t>https://www.dropbox.com/scl/fi/9ubb46x48dkjaoopdfvw7/ATE_265_2025_125603.pdf?rlkey=f89a7xv9ybn0z5ffw6rio6pjj&amp;dl=0</t>
    <phoneticPr fontId="2" type="noConversion"/>
  </si>
  <si>
    <t>https://www.dropbox.com/scl/fi/8jni15dhs1dk502kcmip0/ECM_227_2021_113618.pdf?rlkey=8e149h0wxr1ulju883jpzhuj1&amp;dl=0</t>
    <phoneticPr fontId="2" type="noConversion"/>
  </si>
  <si>
    <t>https://www.dropbox.com/scl/fi/fhdoyu4pd7xubyc13uvn6/ECM_251_2022_115000.pdf?rlkey=430pgai8tt5waerosb1gfixyy&amp;dl=0</t>
    <phoneticPr fontId="2" type="noConversion"/>
  </si>
  <si>
    <t>https://www.dropbox.com/scl/fi/qhwz35oa7cfntnjauzz25/ECM_270_2022_116252.pdf?rlkey=wsugfym3lp2cgk7uam96e6gl6&amp;dl=0</t>
    <phoneticPr fontId="2" type="noConversion"/>
  </si>
  <si>
    <t>https://www.dropbox.com/scl/fi/drnh5a2j5f7uvf025hjij/ECM_278_2023_116706.pdf?rlkey=1voeb7tupdbnqt0ktlys2locj&amp;dl=0</t>
    <phoneticPr fontId="2" type="noConversion"/>
  </si>
  <si>
    <t>https://www.dropbox.com/scl/fi/cesfxohgth8kon1g0l75y/EGY_173_2019_244_262.pdf?rlkey=y698c1va9i9hkeptx4f2ebvjf&amp;dl=0</t>
    <phoneticPr fontId="2" type="noConversion"/>
  </si>
  <si>
    <t>https://www.dropbox.com/scl/fi/2tdxn3rzd6qrwzzdoku03/ER_193_2022_89_112.pdf?rlkey=qd78wwxmu3qepdpikpi975tkd&amp;dl=0</t>
    <phoneticPr fontId="2" type="noConversion"/>
  </si>
  <si>
    <t>https://www.dropbox.com/scl/fi/ysabwm6g2dpdmyuwd91ir/ER_212_2023_779_791.pdf?rlkey=5hp62p5q1atqjr1li427ka1x0&amp;dl=0</t>
    <phoneticPr fontId="2" type="noConversion"/>
  </si>
  <si>
    <t>https://www.dropbox.com/scl/fi/9pqbk4dvabmap8l7p17wr/JOBE_78_2023_107608.pdf?rlkey=8x4dta3nzvkp0jeqishad92bc&amp;dl=0</t>
    <phoneticPr fontId="2" type="noConversion"/>
  </si>
  <si>
    <t>https://www.dropbox.com/scl/fi/a9vkefnsnivy0vc5wzhrg/JOBE_82_2024_108169.pdf?rlkey=9alui6f89p23jz71cf2kyycwt&amp;dl=0</t>
    <phoneticPr fontId="2" type="noConversion"/>
  </si>
  <si>
    <t>https://www.dropbox.com/scl/fi/8r84rg185gdbk86ddxmqf/JOBE_96_2024_110490.pdf?rlkey=222qvl37t33z0xawcy3rgko9e&amp;dl=0</t>
    <phoneticPr fontId="2" type="noConversion"/>
  </si>
  <si>
    <t>Energy saving of vacuum-based membrane dehumidification with indirect evaporative cooling in a low sensible-heat-ratio building</t>
    <phoneticPr fontId="2" type="noConversion"/>
  </si>
  <si>
    <t>Applicability of a dedicated outdoor air system assisted by isothermal dehumidification and evaporative cooling</t>
    <phoneticPr fontId="2" type="noConversion"/>
  </si>
  <si>
    <t>Experimental analysis of vacuum membrane dehumidifier: Hollow fiber module designs and dehumidification performance</t>
    <phoneticPr fontId="2" type="noConversion"/>
  </si>
  <si>
    <t>Applicability of a liquid-desiccant air-conditioning system in energy-efficient buildings with high latent load</t>
    <phoneticPr fontId="2" type="noConversion"/>
  </si>
  <si>
    <t>Energy saving potential of latent heat exchanger-integrated dual core energy recovery ventilator</t>
    <phoneticPr fontId="2" type="noConversion"/>
  </si>
  <si>
    <t>Energy retrofit of public office building through liquid desiccant assisted dedicated outdoor air system with fuel cell in Korea</t>
    <phoneticPr fontId="2" type="noConversion"/>
  </si>
  <si>
    <t>The Feasibility Study on the Hollow Fiber Membrane Dehumidification System Coupling with Conventional Air Conditioning System</t>
    <phoneticPr fontId="2" type="noConversion"/>
  </si>
  <si>
    <t>REHVA HVAC World Congress</t>
    <phoneticPr fontId="2" type="noConversion"/>
  </si>
  <si>
    <t>발표자</t>
    <phoneticPr fontId="2" type="noConversion"/>
  </si>
  <si>
    <t>Experimental performance evaluation of isothermal dehumidification and indirect evaporative cooling-assisted dedicated outdoor air system</t>
    <phoneticPr fontId="2" type="noConversion"/>
  </si>
  <si>
    <t>2026.01.15</t>
    <phoneticPr fontId="2" type="noConversion"/>
  </si>
  <si>
    <t>Preliminary Test on Moisture Transfer of Flat Sheet Membrane-based Dehumidification System</t>
    <phoneticPr fontId="2" type="noConversion"/>
  </si>
  <si>
    <t>Thermodynamic Analysis of Cascade Vacuum Pump Based Membrane Dehumidifier in Air Conditioning System</t>
    <phoneticPr fontId="2" type="noConversion"/>
  </si>
  <si>
    <t>HJ Cho, SY Cheon, K Jang, B Kim, JW Jeong</t>
    <phoneticPr fontId="2" type="noConversion"/>
  </si>
  <si>
    <t>348, 120715</t>
    <phoneticPr fontId="2" type="noConversion"/>
  </si>
  <si>
    <t>792-800</t>
    <phoneticPr fontId="2" type="noConversion"/>
  </si>
  <si>
    <t>K Tsuji, G Yoon, HJ Cho, SY Cheon, JW Jeong</t>
    <phoneticPr fontId="2" type="noConversion"/>
  </si>
  <si>
    <t>HJ Cho, SY Cheon, SH Park, JW Jeong</t>
    <phoneticPr fontId="2" type="noConversion"/>
  </si>
  <si>
    <t>265, 125603</t>
    <phoneticPr fontId="2" type="noConversion"/>
  </si>
  <si>
    <t>SH Park, SY Cheon, HJ Cho, JW Jeong</t>
    <phoneticPr fontId="2" type="noConversion"/>
  </si>
  <si>
    <t>96, 110490</t>
    <phoneticPr fontId="2" type="noConversion"/>
  </si>
  <si>
    <t>SY Cheon, HJ Cho, JW Jeong</t>
    <phoneticPr fontId="2" type="noConversion"/>
  </si>
  <si>
    <t>82, 108169</t>
    <phoneticPr fontId="2" type="noConversion"/>
  </si>
  <si>
    <t>HJ Cho, SY Cheon, JW Jeong, G Yoon</t>
    <phoneticPr fontId="2" type="noConversion"/>
  </si>
  <si>
    <t>236, 121848</t>
    <phoneticPr fontId="2" type="noConversion"/>
  </si>
  <si>
    <t>HJ Cho, SY Cheon, SJ Lee, JW Jeong</t>
    <phoneticPr fontId="2" type="noConversion"/>
  </si>
  <si>
    <t>SY Cheon, HJ Cho, JH Lee, SH Park, JW Jeong</t>
    <phoneticPr fontId="2" type="noConversion"/>
  </si>
  <si>
    <t>SJ Lee, SY Cheon, S Kim, TD Kwon, JW Jeong</t>
    <phoneticPr fontId="2" type="noConversion"/>
  </si>
  <si>
    <t>2600 (6), 062007</t>
    <phoneticPr fontId="2" type="noConversion"/>
  </si>
  <si>
    <t>JH Lee, SY Cheon, SJ Lee, HJ Cho, JW Jeong</t>
    <phoneticPr fontId="2" type="noConversion"/>
  </si>
  <si>
    <t>78, 107608</t>
    <phoneticPr fontId="2" type="noConversion"/>
  </si>
  <si>
    <t>HJ Cho, SY Cheon, JW Jeong</t>
    <phoneticPr fontId="2" type="noConversion"/>
  </si>
  <si>
    <t>231, 120989</t>
    <phoneticPr fontId="2" type="noConversion"/>
  </si>
  <si>
    <t>J Joung, SY Cheon, YK Kang, M Kim, J Park, JW Jeong</t>
    <phoneticPr fontId="2" type="noConversion"/>
  </si>
  <si>
    <t>212, 779-791</t>
    <phoneticPr fontId="2" type="noConversion"/>
  </si>
  <si>
    <t>H Lim, SY Cheon, HJ Cho, JW Jeong, Y Su</t>
    <phoneticPr fontId="2" type="noConversion"/>
  </si>
  <si>
    <t>230, 120870</t>
    <phoneticPr fontId="2" type="noConversion"/>
  </si>
  <si>
    <t>JH Lee, SY Cheon, JW Jeong</t>
    <phoneticPr fontId="2" type="noConversion"/>
  </si>
  <si>
    <t>229, 120615</t>
    <phoneticPr fontId="2" type="noConversion"/>
  </si>
  <si>
    <t>SJ Lee, SY Cheon, SY Jo, JW Joung, JW Jeong</t>
    <phoneticPr fontId="2" type="noConversion"/>
  </si>
  <si>
    <t>SY Cheon, BJ Kim, JH Lee, M Kim, HL Park, JW Jeong</t>
    <phoneticPr fontId="2" type="noConversion"/>
  </si>
  <si>
    <t>278, 116706</t>
    <phoneticPr fontId="2" type="noConversion"/>
  </si>
  <si>
    <t>SY Jo, SY Cheon, BJ Kim, TD Kwon, JW Jeong</t>
    <phoneticPr fontId="2" type="noConversion"/>
  </si>
  <si>
    <t>396, 01099</t>
    <phoneticPr fontId="2" type="noConversion"/>
  </si>
  <si>
    <t>270, 116252</t>
    <phoneticPr fontId="2" type="noConversion"/>
  </si>
  <si>
    <t>213, 118686</t>
    <phoneticPr fontId="2" type="noConversion"/>
  </si>
  <si>
    <t>210, 118404</t>
    <phoneticPr fontId="2" type="noConversion"/>
  </si>
  <si>
    <t>J Ko, SY Cheon, YK Kang, JW Jeong</t>
    <phoneticPr fontId="2" type="noConversion"/>
  </si>
  <si>
    <t>193, 89-112</t>
    <phoneticPr fontId="2" type="noConversion"/>
  </si>
  <si>
    <t>HY Cho, SY Cheon, SY Jo, SJ Lee, GB Lee , JW Jeong</t>
    <phoneticPr fontId="2" type="noConversion"/>
  </si>
  <si>
    <t>251, 115000</t>
    <phoneticPr fontId="2" type="noConversion"/>
  </si>
  <si>
    <t>JH Lee, SY Cheon, M Kim, HL Park, JW Jeong</t>
    <phoneticPr fontId="2" type="noConversion"/>
  </si>
  <si>
    <t>356, 1-4</t>
    <phoneticPr fontId="2" type="noConversion"/>
  </si>
  <si>
    <t>YK Kang, H Lim, SY Cheon, JW Jeong</t>
    <phoneticPr fontId="2" type="noConversion"/>
  </si>
  <si>
    <t>194, 117082</t>
    <phoneticPr fontId="2" type="noConversion"/>
  </si>
  <si>
    <t>182, 116094</t>
    <phoneticPr fontId="2" type="noConversion"/>
  </si>
  <si>
    <t>227, 113618</t>
    <phoneticPr fontId="2" type="noConversion"/>
  </si>
  <si>
    <t>J Ko, SY Cheon</t>
    <phoneticPr fontId="2" type="noConversion"/>
  </si>
  <si>
    <t>127, 100-107</t>
    <phoneticPr fontId="2" type="noConversion"/>
  </si>
  <si>
    <t>SY Cheon, SJ Lee, LH Lin</t>
    <phoneticPr fontId="2" type="noConversion"/>
  </si>
  <si>
    <t>127, 457-465</t>
    <phoneticPr fontId="2" type="noConversion"/>
  </si>
  <si>
    <t>SY Yoon, JY Park, SY Cheon, S Liu, JW Jeong</t>
    <phoneticPr fontId="2" type="noConversion"/>
  </si>
  <si>
    <t>16, 3963-3967</t>
    <phoneticPr fontId="2" type="noConversion"/>
  </si>
  <si>
    <t>SY Cheon, H Lim, JW Jeong</t>
    <phoneticPr fontId="2" type="noConversion"/>
  </si>
  <si>
    <t>173, 244-262</t>
    <phoneticPr fontId="2" type="noConversion"/>
  </si>
  <si>
    <t>150, 210-223</t>
    <phoneticPr fontId="2" type="noConversion"/>
  </si>
  <si>
    <t>SY Cheon, HW Dong, YK Kang, SJ Lee, JW Jeong</t>
    <phoneticPr fontId="2" type="noConversion"/>
  </si>
  <si>
    <t>SY Cheon, SY Yoon, S Liu, JW Jeong</t>
    <phoneticPr fontId="2" type="noConversion"/>
  </si>
  <si>
    <t>111, 01087</t>
    <phoneticPr fontId="2" type="noConversion"/>
  </si>
  <si>
    <t>H Lim, HJ Cho, SY Cheon, SJ Lee, JW Jeong</t>
    <phoneticPr fontId="2" type="noConversion"/>
  </si>
  <si>
    <t>H Lim, SY Cheon, JW Jeong</t>
    <phoneticPr fontId="2" type="noConversion"/>
  </si>
  <si>
    <t>11 (3), 580</t>
    <phoneticPr fontId="2" type="noConversion"/>
  </si>
  <si>
    <t>SY Cheon, JW Jeong</t>
    <phoneticPr fontId="2" type="noConversion"/>
  </si>
  <si>
    <t>Track 6, 959-964</t>
    <phoneticPr fontId="2" type="noConversion"/>
  </si>
  <si>
    <t>SY Cheon, HW Dong, YK Kang, BJ Kim, JW Jeong</t>
    <phoneticPr fontId="2" type="noConversion"/>
  </si>
  <si>
    <t>JY Park, EJ Choi, SY Cheon, HW Dong, JW Jeong</t>
    <phoneticPr fontId="2" type="noConversion"/>
  </si>
  <si>
    <t>622-629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</si>
</sst>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6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name val="맑은 고딕"/>
      <family val="2"/>
      <charset val="129"/>
      <scheme val="minor"/>
    </font>
    <font>
      <sz val="9"/>
      <name val="Arial"/>
      <family val="2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name val="ar"/>
    </font>
    <font>
      <sz val="8"/>
      <color theme="1"/>
      <name val="ar"/>
      <family val="2"/>
    </font>
    <font>
      <b/>
      <sz val="8"/>
      <color theme="1"/>
      <name val="맑은 고딕"/>
      <family val="2"/>
      <charset val="129"/>
      <scheme val="minor"/>
    </font>
    <font>
      <b/>
      <sz val="8"/>
      <color rgb="FF000000"/>
      <name val="ar"/>
      <family val="2"/>
    </font>
    <font>
      <b/>
      <sz val="8"/>
      <color theme="1"/>
      <name val="ar"/>
    </font>
    <font>
      <b/>
      <sz val="8"/>
      <color rgb="FFFF0000"/>
      <name val="ar"/>
    </font>
    <font>
      <sz val="8"/>
      <color rgb="FFFF0000"/>
      <name val="ar"/>
      <family val="2"/>
    </font>
    <font>
      <b/>
      <sz val="8"/>
      <color rgb="FFFF0000"/>
      <name val="ar"/>
      <family val="2"/>
    </font>
    <font>
      <sz val="9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6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3" fillId="0" borderId="2" xfId="0" applyFont="1" applyBorder="1">
      <alignment vertical="center"/>
    </xf>
    <xf numFmtId="0" fontId="3" fillId="0" borderId="0" xfId="0" applyFont="1">
      <alignment vertical="center"/>
    </xf>
    <xf numFmtId="0" fontId="5" fillId="0" borderId="2" xfId="0" applyFont="1" applyBorder="1">
      <alignment vertical="center"/>
    </xf>
    <xf numFmtId="0" fontId="4" fillId="0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10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4" fillId="0" borderId="3" xfId="0" applyFont="1" applyBorder="1">
      <alignment vertical="center"/>
    </xf>
    <xf numFmtId="0" fontId="15" fillId="0" borderId="3" xfId="0" applyFont="1" applyBorder="1">
      <alignment vertical="center"/>
    </xf>
    <xf numFmtId="0" fontId="16" fillId="0" borderId="1" xfId="0" applyFont="1" applyBorder="1">
      <alignment vertical="center"/>
    </xf>
    <xf numFmtId="0" fontId="13" fillId="0" borderId="10" xfId="0" applyFont="1" applyBorder="1">
      <alignment vertical="center"/>
    </xf>
    <xf numFmtId="0" fontId="13" fillId="0" borderId="12" xfId="0" applyFont="1" applyBorder="1">
      <alignment vertical="center"/>
    </xf>
    <xf numFmtId="0" fontId="16" fillId="0" borderId="12" xfId="0" applyFont="1" applyBorder="1">
      <alignment vertical="center"/>
    </xf>
    <xf numFmtId="176" fontId="13" fillId="0" borderId="10" xfId="0" applyNumberFormat="1" applyFont="1" applyBorder="1">
      <alignment vertical="center"/>
    </xf>
    <xf numFmtId="176" fontId="13" fillId="0" borderId="12" xfId="0" applyNumberFormat="1" applyFont="1" applyBorder="1">
      <alignment vertical="center"/>
    </xf>
    <xf numFmtId="0" fontId="17" fillId="0" borderId="1" xfId="0" applyFont="1" applyBorder="1">
      <alignment vertical="center"/>
    </xf>
    <xf numFmtId="176" fontId="18" fillId="0" borderId="10" xfId="0" applyNumberFormat="1" applyFont="1" applyBorder="1">
      <alignment vertical="center"/>
    </xf>
    <xf numFmtId="0" fontId="17" fillId="0" borderId="12" xfId="0" applyFont="1" applyBorder="1">
      <alignment vertical="center"/>
    </xf>
    <xf numFmtId="176" fontId="18" fillId="0" borderId="12" xfId="0" applyNumberFormat="1" applyFont="1" applyBorder="1">
      <alignment vertical="center"/>
    </xf>
    <xf numFmtId="176" fontId="18" fillId="0" borderId="14" xfId="0" applyNumberFormat="1" applyFont="1" applyBorder="1">
      <alignment vertical="center"/>
    </xf>
    <xf numFmtId="0" fontId="19" fillId="0" borderId="1" xfId="0" applyFont="1" applyBorder="1">
      <alignment vertical="center"/>
    </xf>
    <xf numFmtId="0" fontId="18" fillId="0" borderId="10" xfId="0" applyFont="1" applyBorder="1">
      <alignment vertical="center"/>
    </xf>
    <xf numFmtId="0" fontId="19" fillId="0" borderId="12" xfId="0" applyFont="1" applyBorder="1">
      <alignment vertical="center"/>
    </xf>
    <xf numFmtId="0" fontId="18" fillId="0" borderId="12" xfId="0" applyFont="1" applyBorder="1">
      <alignment vertical="center"/>
    </xf>
    <xf numFmtId="0" fontId="18" fillId="0" borderId="14" xfId="0" applyFont="1" applyBorder="1">
      <alignment vertical="center"/>
    </xf>
    <xf numFmtId="176" fontId="0" fillId="0" borderId="0" xfId="0" applyNumberFormat="1">
      <alignment vertical="center"/>
    </xf>
    <xf numFmtId="0" fontId="20" fillId="0" borderId="2" xfId="0" applyFont="1" applyFill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22" fillId="0" borderId="0" xfId="2">
      <alignment vertical="center"/>
    </xf>
    <xf numFmtId="0" fontId="21" fillId="0" borderId="2" xfId="0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2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2" fontId="6" fillId="0" borderId="2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</cellXfs>
  <cellStyles count="3">
    <cellStyle name="표준" xfId="0" builtinId="0"/>
    <cellStyle name="표준 2" xfId="1" xr:uid="{63F6801E-7434-4870-9C92-CA2FC8504804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ropbox.com/scl/fi/i62yc6j3j3g1gqn64nnf8/ATE_230_2023_120870.pdf?rlkey=hp9vook17dsfgul97tnuvbokd&amp;dl=0" TargetMode="External"/><Relationship Id="rId13" Type="http://schemas.openxmlformats.org/officeDocument/2006/relationships/hyperlink" Target="https://www.dropbox.com/scl/fi/fhdoyu4pd7xubyc13uvn6/ECM_251_2022_115000.pdf?rlkey=430pgai8tt5waerosb1gfixyy&amp;dl=0" TargetMode="External"/><Relationship Id="rId18" Type="http://schemas.openxmlformats.org/officeDocument/2006/relationships/hyperlink" Target="https://www.dropbox.com/scl/fi/ysabwm6g2dpdmyuwd91ir/ER_212_2023_779_791.pdf?rlkey=5hp62p5q1atqjr1li427ka1x0&amp;dl=0" TargetMode="External"/><Relationship Id="rId3" Type="http://schemas.openxmlformats.org/officeDocument/2006/relationships/hyperlink" Target="https://www.dropbox.com/scl/fi/ccui3ey4v9dz32glo3gie/ATE_182_2021_116094.pdf?rlkey=087cmdwae8wkud8hz5elqoerq&amp;dl=0" TargetMode="External"/><Relationship Id="rId21" Type="http://schemas.openxmlformats.org/officeDocument/2006/relationships/hyperlink" Target="https://www.dropbox.com/scl/fi/8r84rg185gdbk86ddxmqf/JOBE_96_2024_110490.pdf?rlkey=222qvl37t33z0xawcy3rgko9e&amp;dl=0" TargetMode="External"/><Relationship Id="rId7" Type="http://schemas.openxmlformats.org/officeDocument/2006/relationships/hyperlink" Target="https://www.dropbox.com/scl/fi/0lxhtwebs5ujjz4o9a98a/ATE_229_2023_120615.pdf?rlkey=vm0ak60aomtad4d73lmzx850a&amp;dl=0" TargetMode="External"/><Relationship Id="rId12" Type="http://schemas.openxmlformats.org/officeDocument/2006/relationships/hyperlink" Target="https://www.dropbox.com/scl/fi/8jni15dhs1dk502kcmip0/ECM_227_2021_113618.pdf?rlkey=8e149h0wxr1ulju883jpzhuj1&amp;dl=0" TargetMode="External"/><Relationship Id="rId17" Type="http://schemas.openxmlformats.org/officeDocument/2006/relationships/hyperlink" Target="https://www.dropbox.com/scl/fi/2tdxn3rzd6qrwzzdoku03/ER_193_2022_89_112.pdf?rlkey=qd78wwxmu3qepdpikpi975tkd&amp;dl=0" TargetMode="External"/><Relationship Id="rId2" Type="http://schemas.openxmlformats.org/officeDocument/2006/relationships/hyperlink" Target="https://www.dropbox.com/scl/fi/zg3fswjb4vg2nyx5ka8pj/ATE_150_2019_210_223.pdf?rlkey=03zq1uruc4uilqep7t1sjo0qg&amp;dl=0" TargetMode="External"/><Relationship Id="rId16" Type="http://schemas.openxmlformats.org/officeDocument/2006/relationships/hyperlink" Target="https://www.dropbox.com/scl/fi/cesfxohgth8kon1g0l75y/EGY_173_2019_244_262.pdf?rlkey=y698c1va9i9hkeptx4f2ebvjf&amp;dl=0" TargetMode="External"/><Relationship Id="rId20" Type="http://schemas.openxmlformats.org/officeDocument/2006/relationships/hyperlink" Target="https://www.dropbox.com/scl/fi/a9vkefnsnivy0vc5wzhrg/JOBE_82_2024_108169.pdf?rlkey=9alui6f89p23jz71cf2kyycwt&amp;dl=0" TargetMode="External"/><Relationship Id="rId1" Type="http://schemas.openxmlformats.org/officeDocument/2006/relationships/hyperlink" Target="https://www.dropbox.com/scl/fi/pho0s91qo0n50588yvl10/energies-11-00580.pdf?rlkey=yupqqxywcf3514a6v32yamq52&amp;dl=0" TargetMode="External"/><Relationship Id="rId6" Type="http://schemas.openxmlformats.org/officeDocument/2006/relationships/hyperlink" Target="https://www.dropbox.com/scl/fi/eurjrmbhd6wfc760kr4r3/ATE_213_2022_118686.pdf?rlkey=rvawo37q9wc6j1d6ejjs9lnjx&amp;dl=0" TargetMode="External"/><Relationship Id="rId11" Type="http://schemas.openxmlformats.org/officeDocument/2006/relationships/hyperlink" Target="https://www.dropbox.com/scl/fi/9ubb46x48dkjaoopdfvw7/ATE_265_2025_125603.pdf?rlkey=f89a7xv9ybn0z5ffw6rio6pjj&amp;dl=0" TargetMode="External"/><Relationship Id="rId5" Type="http://schemas.openxmlformats.org/officeDocument/2006/relationships/hyperlink" Target="https://www.dropbox.com/scl/fi/p0u1ef1wxlms0o7j5and4/ATE_210_2022_118404.pdf?rlkey=tafi2mwrnjd67b5mdk73cyw54&amp;dl=0" TargetMode="External"/><Relationship Id="rId15" Type="http://schemas.openxmlformats.org/officeDocument/2006/relationships/hyperlink" Target="https://www.dropbox.com/scl/fi/drnh5a2j5f7uvf025hjij/ECM_278_2023_116706.pdf?rlkey=1voeb7tupdbnqt0ktlys2locj&amp;dl=0" TargetMode="External"/><Relationship Id="rId10" Type="http://schemas.openxmlformats.org/officeDocument/2006/relationships/hyperlink" Target="https://www.dropbox.com/scl/fi/qu5jjqnew2yp882jz54or/ATE_236_2024_121848.pdf?rlkey=jzjdopdzhh0q2kos4j8z8bjkg&amp;dl=0" TargetMode="External"/><Relationship Id="rId19" Type="http://schemas.openxmlformats.org/officeDocument/2006/relationships/hyperlink" Target="https://www.dropbox.com/scl/fi/9pqbk4dvabmap8l7p17wr/JOBE_78_2023_107608.pdf?rlkey=8x4dta3nzvkp0jeqishad92bc&amp;dl=0" TargetMode="External"/><Relationship Id="rId4" Type="http://schemas.openxmlformats.org/officeDocument/2006/relationships/hyperlink" Target="https://www.dropbox.com/scl/fi/unvnitg0skd2epjoalwm9/ATE_194_2021_117082.pdf?rlkey=raxctc5uskgcmg5qe2erfqa2q&amp;dl=0" TargetMode="External"/><Relationship Id="rId9" Type="http://schemas.openxmlformats.org/officeDocument/2006/relationships/hyperlink" Target="https://www.dropbox.com/scl/fi/folykm8yzjyj7ahtahk4a/ATE_231_2023_120989.pdf?rlkey=z79bhqj6c75stbhmdnrvzidj8&amp;dl=0" TargetMode="External"/><Relationship Id="rId14" Type="http://schemas.openxmlformats.org/officeDocument/2006/relationships/hyperlink" Target="https://www.dropbox.com/scl/fi/qhwz35oa7cfntnjauzz25/ECM_270_2022_116252.pdf?rlkey=wsugfym3lp2cgk7uam96e6gl6&amp;dl=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1F257-E950-4B3B-ADE8-D760AB7D592E}">
  <dimension ref="A1:R48"/>
  <sheetViews>
    <sheetView tabSelected="1" topLeftCell="A27" zoomScale="85" zoomScaleNormal="85" workbookViewId="0">
      <selection activeCell="E45" sqref="E45"/>
    </sheetView>
  </sheetViews>
  <sheetFormatPr defaultRowHeight="17.399999999999999"/>
  <cols>
    <col min="1" max="1" width="8.69921875" customWidth="1"/>
    <col min="2" max="2" width="21.09765625" customWidth="1"/>
    <col min="3" max="3" width="16.59765625" style="2" bestFit="1" customWidth="1"/>
    <col min="4" max="4" width="32.8984375" style="2" bestFit="1" customWidth="1"/>
    <col min="5" max="5" width="11.19921875" bestFit="1" customWidth="1"/>
    <col min="6" max="6" width="44.796875" bestFit="1" customWidth="1"/>
    <col min="7" max="7" width="15.09765625" customWidth="1"/>
    <col min="12" max="12" width="27.09765625" customWidth="1"/>
    <col min="13" max="13" width="27.09765625" bestFit="1" customWidth="1"/>
  </cols>
  <sheetData>
    <row r="1" spans="1:18">
      <c r="A1" s="11" t="s">
        <v>20</v>
      </c>
      <c r="B1" s="11" t="s">
        <v>16</v>
      </c>
      <c r="C1" s="12" t="s">
        <v>49</v>
      </c>
      <c r="D1" s="12" t="s">
        <v>17</v>
      </c>
      <c r="E1" s="11" t="s">
        <v>18</v>
      </c>
      <c r="F1" s="11" t="s">
        <v>158</v>
      </c>
      <c r="G1" s="11"/>
      <c r="H1" s="11" t="s">
        <v>89</v>
      </c>
      <c r="I1" s="11" t="s">
        <v>19</v>
      </c>
      <c r="J1" s="13" t="s">
        <v>90</v>
      </c>
      <c r="K1" s="13" t="s">
        <v>91</v>
      </c>
      <c r="L1" s="39" t="s">
        <v>126</v>
      </c>
      <c r="R1" s="8"/>
    </row>
    <row r="2" spans="1:18">
      <c r="A2" s="44">
        <f>ROW()-1</f>
        <v>1</v>
      </c>
      <c r="B2" s="43" t="s">
        <v>159</v>
      </c>
      <c r="C2" s="37" t="s">
        <v>50</v>
      </c>
      <c r="D2" s="42" t="s">
        <v>15</v>
      </c>
      <c r="E2" s="10" t="s">
        <v>160</v>
      </c>
      <c r="F2" s="10" t="s">
        <v>163</v>
      </c>
      <c r="G2" s="10" t="s">
        <v>164</v>
      </c>
      <c r="H2" s="10">
        <v>5</v>
      </c>
      <c r="I2" s="10" t="s">
        <v>87</v>
      </c>
      <c r="J2" s="10">
        <f>IFERROR(VLOOKUP(TRIM(D2),'JCR update_25.09.03'!$A$2:$B$20,2,FALSE),"-")</f>
        <v>10.9</v>
      </c>
      <c r="K2" s="45">
        <f>IFERROR(VLOOKUP(TRIM(D2),'JCR update_25.09.03'!$A:$H,6,FALSE),"-")</f>
        <v>2.3391812865497075</v>
      </c>
      <c r="L2" s="46"/>
      <c r="R2" s="8"/>
    </row>
    <row r="3" spans="1:18">
      <c r="A3" s="44">
        <f>ROW()-1</f>
        <v>2</v>
      </c>
      <c r="B3" s="43" t="s">
        <v>156</v>
      </c>
      <c r="C3" s="10" t="s">
        <v>48</v>
      </c>
      <c r="D3" s="42" t="s">
        <v>157</v>
      </c>
      <c r="E3" s="10">
        <v>2025</v>
      </c>
      <c r="F3" s="10" t="s">
        <v>166</v>
      </c>
      <c r="G3" s="10" t="s">
        <v>165</v>
      </c>
      <c r="H3" s="10">
        <v>5</v>
      </c>
      <c r="I3" s="10" t="s">
        <v>87</v>
      </c>
      <c r="J3" s="6" t="s">
        <v>70</v>
      </c>
      <c r="K3" s="6" t="s">
        <v>70</v>
      </c>
      <c r="L3" s="46"/>
      <c r="R3" s="8"/>
    </row>
    <row r="4" spans="1:18">
      <c r="A4" s="44">
        <f>ROW()-1</f>
        <v>3</v>
      </c>
      <c r="B4" s="43" t="s">
        <v>138</v>
      </c>
      <c r="C4" s="37" t="s">
        <v>50</v>
      </c>
      <c r="D4" s="42" t="s">
        <v>14</v>
      </c>
      <c r="E4" s="10" t="s">
        <v>67</v>
      </c>
      <c r="F4" s="10" t="s">
        <v>167</v>
      </c>
      <c r="G4" s="10" t="s">
        <v>168</v>
      </c>
      <c r="H4" s="10">
        <v>4</v>
      </c>
      <c r="I4" s="10" t="s">
        <v>87</v>
      </c>
      <c r="J4" s="10">
        <f>IFERROR(VLOOKUP(TRIM(D4),'JCR update_25.09.03'!$A$2:$B$20,2,FALSE),"-")</f>
        <v>6.9</v>
      </c>
      <c r="K4" s="45">
        <f>IFERROR(VLOOKUP(TRIM(D4),'JCR update_25.09.03'!$A:$H,6,FALSE),"-")</f>
        <v>4.9450549450549453</v>
      </c>
      <c r="L4" s="40" t="s">
        <v>139</v>
      </c>
      <c r="R4" s="8"/>
    </row>
    <row r="5" spans="1:18">
      <c r="A5" s="44">
        <f t="shared" ref="A5:A44" si="0">ROW()-1</f>
        <v>4</v>
      </c>
      <c r="B5" s="43" t="s">
        <v>150</v>
      </c>
      <c r="C5" s="37" t="s">
        <v>50</v>
      </c>
      <c r="D5" s="42" t="s">
        <v>5</v>
      </c>
      <c r="E5" s="10" t="s">
        <v>7</v>
      </c>
      <c r="F5" s="10" t="s">
        <v>169</v>
      </c>
      <c r="G5" s="10" t="s">
        <v>170</v>
      </c>
      <c r="H5" s="10">
        <v>4</v>
      </c>
      <c r="I5" s="10" t="s">
        <v>87</v>
      </c>
      <c r="J5" s="10">
        <f>IFERROR(VLOOKUP(TRIM(D5),'JCR update_25.09.03'!$A$2:$B$20,2,FALSE),"-")</f>
        <v>7.4</v>
      </c>
      <c r="K5" s="45">
        <f>IFERROR(VLOOKUP(TRIM(D5),'JCR update_25.09.03'!$A:$H,6,FALSE),"-")</f>
        <v>5.4644808743169397</v>
      </c>
      <c r="L5" s="40" t="s">
        <v>149</v>
      </c>
      <c r="R5" s="8"/>
    </row>
    <row r="6" spans="1:18">
      <c r="A6" s="44">
        <f t="shared" si="0"/>
        <v>5</v>
      </c>
      <c r="B6" s="43" t="s">
        <v>151</v>
      </c>
      <c r="C6" s="37" t="s">
        <v>50</v>
      </c>
      <c r="D6" s="42" t="s">
        <v>5</v>
      </c>
      <c r="E6" s="10" t="s">
        <v>68</v>
      </c>
      <c r="F6" s="10" t="s">
        <v>171</v>
      </c>
      <c r="G6" s="10" t="s">
        <v>172</v>
      </c>
      <c r="H6" s="10">
        <v>3</v>
      </c>
      <c r="I6" s="10" t="s">
        <v>88</v>
      </c>
      <c r="J6" s="10">
        <f>IFERROR(VLOOKUP(TRIM(D6),'JCR update_25.09.03'!$A$2:$B$20,2,FALSE),"-")</f>
        <v>7.4</v>
      </c>
      <c r="K6" s="45">
        <f>IFERROR(VLOOKUP(TRIM(D6),'JCR update_25.09.03'!$A:$H,6,FALSE),"-")</f>
        <v>5.4644808743169397</v>
      </c>
      <c r="L6" s="40" t="s">
        <v>148</v>
      </c>
      <c r="R6" s="8"/>
    </row>
    <row r="7" spans="1:18">
      <c r="A7" s="44">
        <f t="shared" si="0"/>
        <v>6</v>
      </c>
      <c r="B7" s="43" t="s">
        <v>152</v>
      </c>
      <c r="C7" s="37" t="s">
        <v>50</v>
      </c>
      <c r="D7" s="42" t="s">
        <v>14</v>
      </c>
      <c r="E7" s="10" t="s">
        <v>69</v>
      </c>
      <c r="F7" s="10" t="s">
        <v>173</v>
      </c>
      <c r="G7" s="10" t="s">
        <v>174</v>
      </c>
      <c r="H7" s="10">
        <v>4</v>
      </c>
      <c r="I7" s="10" t="s">
        <v>87</v>
      </c>
      <c r="J7" s="10">
        <f>IFERROR(VLOOKUP(TRIM(D7),'JCR update_25.09.03'!$A$2:$B$20,2,FALSE),"-")</f>
        <v>6.9</v>
      </c>
      <c r="K7" s="45">
        <f>IFERROR(VLOOKUP(TRIM(D7),'JCR update_25.09.03'!$A:$H,6,FALSE),"-")</f>
        <v>4.9450549450549453</v>
      </c>
      <c r="L7" s="40" t="s">
        <v>137</v>
      </c>
    </row>
    <row r="8" spans="1:18">
      <c r="A8" s="41">
        <f t="shared" si="0"/>
        <v>7</v>
      </c>
      <c r="B8" s="4" t="s">
        <v>161</v>
      </c>
      <c r="C8" s="10" t="s">
        <v>48</v>
      </c>
      <c r="D8" s="42" t="s">
        <v>46</v>
      </c>
      <c r="E8" s="6">
        <v>2024</v>
      </c>
      <c r="F8" s="6" t="s">
        <v>175</v>
      </c>
      <c r="G8" s="6"/>
      <c r="H8" s="6" t="s">
        <v>70</v>
      </c>
      <c r="I8" s="6" t="s">
        <v>70</v>
      </c>
      <c r="J8" s="6" t="str">
        <f>IFERROR(VLOOKUP(TRIM(D8),'JCR update_25.09.03'!$A$2:$B$20,2,FALSE),"-")</f>
        <v>-</v>
      </c>
      <c r="K8" s="38" t="str">
        <f>IFERROR(VLOOKUP(TRIM(D8),'JCR update_25.09.03'!$A:$H,6,FALSE),"-")</f>
        <v>-</v>
      </c>
    </row>
    <row r="9" spans="1:18">
      <c r="A9" s="41">
        <f t="shared" si="0"/>
        <v>8</v>
      </c>
      <c r="B9" s="4" t="s">
        <v>162</v>
      </c>
      <c r="C9" s="10" t="s">
        <v>48</v>
      </c>
      <c r="D9" s="42" t="s">
        <v>46</v>
      </c>
      <c r="E9" s="6">
        <v>2024</v>
      </c>
      <c r="F9" s="6" t="s">
        <v>176</v>
      </c>
      <c r="G9" s="6"/>
      <c r="H9" s="6" t="s">
        <v>70</v>
      </c>
      <c r="I9" s="6" t="s">
        <v>70</v>
      </c>
      <c r="J9" s="6" t="str">
        <f>IFERROR(VLOOKUP(TRIM(D9),'JCR update_25.09.03'!$A$2:$B$20,2,FALSE),"-")</f>
        <v>-</v>
      </c>
      <c r="K9" s="38" t="str">
        <f>IFERROR(VLOOKUP(TRIM(D9),'JCR update_25.09.03'!$A:$H,6,FALSE),"-")</f>
        <v>-</v>
      </c>
    </row>
    <row r="10" spans="1:18">
      <c r="A10" s="41">
        <f t="shared" si="0"/>
        <v>9</v>
      </c>
      <c r="B10" s="7" t="s">
        <v>21</v>
      </c>
      <c r="C10" s="10" t="s">
        <v>48</v>
      </c>
      <c r="D10" s="5" t="s">
        <v>51</v>
      </c>
      <c r="E10" s="6">
        <v>2023</v>
      </c>
      <c r="F10" s="6" t="s">
        <v>177</v>
      </c>
      <c r="G10" s="6" t="s">
        <v>178</v>
      </c>
      <c r="H10" s="6" t="s">
        <v>70</v>
      </c>
      <c r="I10" s="6" t="s">
        <v>70</v>
      </c>
      <c r="J10" s="6" t="str">
        <f>IFERROR(VLOOKUP(TRIM(D10),'JCR update_25.09.03'!$A$2:$B$20,2,FALSE),"-")</f>
        <v>-</v>
      </c>
      <c r="K10" s="38" t="str">
        <f>IFERROR(VLOOKUP(TRIM(D10),'JCR update_25.09.03'!$A:$H,6,FALSE),"-")</f>
        <v>-</v>
      </c>
    </row>
    <row r="11" spans="1:18">
      <c r="A11" s="44">
        <f t="shared" si="0"/>
        <v>10</v>
      </c>
      <c r="B11" s="43" t="s">
        <v>153</v>
      </c>
      <c r="C11" s="37" t="s">
        <v>50</v>
      </c>
      <c r="D11" s="42" t="s">
        <v>5</v>
      </c>
      <c r="E11" s="10" t="s">
        <v>71</v>
      </c>
      <c r="F11" s="10" t="s">
        <v>179</v>
      </c>
      <c r="G11" s="10" t="s">
        <v>180</v>
      </c>
      <c r="H11" s="10">
        <v>5</v>
      </c>
      <c r="I11" s="10" t="s">
        <v>87</v>
      </c>
      <c r="J11" s="10">
        <f>IFERROR(VLOOKUP(TRIM(D11),'JCR update_25.09.03'!$A$2:$B$20,2,FALSE),"-")</f>
        <v>7.4</v>
      </c>
      <c r="K11" s="45">
        <f>IFERROR(VLOOKUP(TRIM(D11),'JCR update_25.09.03'!$A:$H,6,FALSE),"-")</f>
        <v>5.4644808743169397</v>
      </c>
      <c r="L11" s="40" t="s">
        <v>147</v>
      </c>
    </row>
    <row r="12" spans="1:18">
      <c r="A12" s="44">
        <f t="shared" si="0"/>
        <v>11</v>
      </c>
      <c r="B12" s="43" t="s">
        <v>154</v>
      </c>
      <c r="C12" s="37" t="s">
        <v>50</v>
      </c>
      <c r="D12" s="42" t="s">
        <v>14</v>
      </c>
      <c r="E12" s="10" t="s">
        <v>72</v>
      </c>
      <c r="F12" s="10" t="s">
        <v>181</v>
      </c>
      <c r="G12" s="10" t="s">
        <v>182</v>
      </c>
      <c r="H12" s="10">
        <v>3</v>
      </c>
      <c r="I12" s="10" t="s">
        <v>87</v>
      </c>
      <c r="J12" s="10">
        <f>IFERROR(VLOOKUP(TRIM(D12),'JCR update_25.09.03'!$A$2:$B$20,2,FALSE),"-")</f>
        <v>6.9</v>
      </c>
      <c r="K12" s="45">
        <f>IFERROR(VLOOKUP(TRIM(D12),'JCR update_25.09.03'!$A:$H,6,FALSE),"-")</f>
        <v>4.9450549450549453</v>
      </c>
      <c r="L12" s="40" t="s">
        <v>136</v>
      </c>
    </row>
    <row r="13" spans="1:18">
      <c r="A13" s="44">
        <f t="shared" si="0"/>
        <v>12</v>
      </c>
      <c r="B13" s="43" t="s">
        <v>8</v>
      </c>
      <c r="C13" s="37" t="s">
        <v>50</v>
      </c>
      <c r="D13" s="42" t="s">
        <v>9</v>
      </c>
      <c r="E13" s="10" t="s">
        <v>72</v>
      </c>
      <c r="F13" s="10" t="s">
        <v>183</v>
      </c>
      <c r="G13" s="10" t="s">
        <v>184</v>
      </c>
      <c r="H13" s="10">
        <v>6</v>
      </c>
      <c r="I13" s="10" t="s">
        <v>87</v>
      </c>
      <c r="J13" s="10">
        <f>IFERROR(VLOOKUP(TRIM(D13),'JCR update_25.09.03'!$A$2:$B$20,2,FALSE),"-")</f>
        <v>9.1</v>
      </c>
      <c r="K13" s="45">
        <f>IFERROR(VLOOKUP(TRIM(D13),'JCR update_25.09.03'!$A:$H,6,FALSE),"-")</f>
        <v>17.647058823529413</v>
      </c>
      <c r="L13" s="40" t="s">
        <v>146</v>
      </c>
    </row>
    <row r="14" spans="1:18">
      <c r="A14" s="44">
        <f t="shared" si="0"/>
        <v>13</v>
      </c>
      <c r="B14" s="43" t="s">
        <v>155</v>
      </c>
      <c r="C14" s="37" t="s">
        <v>50</v>
      </c>
      <c r="D14" s="42" t="s">
        <v>14</v>
      </c>
      <c r="E14" s="10" t="s">
        <v>73</v>
      </c>
      <c r="F14" s="10" t="s">
        <v>185</v>
      </c>
      <c r="G14" s="10" t="s">
        <v>186</v>
      </c>
      <c r="H14" s="10">
        <v>5</v>
      </c>
      <c r="I14" s="10" t="s">
        <v>87</v>
      </c>
      <c r="J14" s="10">
        <f>IFERROR(VLOOKUP(TRIM(D14),'JCR update_25.09.03'!$A$2:$B$20,2,FALSE),"-")</f>
        <v>6.9</v>
      </c>
      <c r="K14" s="45">
        <f>IFERROR(VLOOKUP(TRIM(D14),'JCR update_25.09.03'!$A:$H,6,FALSE),"-")</f>
        <v>4.9450549450549453</v>
      </c>
      <c r="L14" s="40" t="s">
        <v>135</v>
      </c>
    </row>
    <row r="15" spans="1:18">
      <c r="A15" s="44">
        <f t="shared" si="0"/>
        <v>14</v>
      </c>
      <c r="B15" s="43" t="s">
        <v>10</v>
      </c>
      <c r="C15" s="37" t="s">
        <v>50</v>
      </c>
      <c r="D15" s="42" t="s">
        <v>14</v>
      </c>
      <c r="E15" s="10" t="s">
        <v>74</v>
      </c>
      <c r="F15" s="10" t="s">
        <v>187</v>
      </c>
      <c r="G15" s="10" t="s">
        <v>188</v>
      </c>
      <c r="H15" s="10">
        <v>3</v>
      </c>
      <c r="I15" s="10" t="s">
        <v>87</v>
      </c>
      <c r="J15" s="10">
        <f>IFERROR(VLOOKUP(TRIM(D15),'JCR update_25.09.03'!$A$2:$B$20,2,FALSE),"-")</f>
        <v>6.9</v>
      </c>
      <c r="K15" s="45">
        <f>IFERROR(VLOOKUP(TRIM(D15),'JCR update_25.09.03'!$A:$H,6,FALSE),"-")</f>
        <v>4.9450549450549453</v>
      </c>
      <c r="L15" s="40" t="s">
        <v>134</v>
      </c>
    </row>
    <row r="16" spans="1:18">
      <c r="A16" s="41">
        <f t="shared" si="0"/>
        <v>15</v>
      </c>
      <c r="B16" s="7" t="s">
        <v>22</v>
      </c>
      <c r="C16" s="10" t="s">
        <v>48</v>
      </c>
      <c r="D16" s="5" t="s">
        <v>52</v>
      </c>
      <c r="E16" s="6">
        <v>2023</v>
      </c>
      <c r="F16" s="6" t="s">
        <v>189</v>
      </c>
      <c r="G16" s="6"/>
      <c r="H16" s="6" t="s">
        <v>70</v>
      </c>
      <c r="I16" s="6" t="s">
        <v>70</v>
      </c>
      <c r="J16" s="6" t="str">
        <f>IFERROR(VLOOKUP(TRIM(D16),'JCR update_25.09.03'!$A$2:$B$20,2,FALSE),"-")</f>
        <v>-</v>
      </c>
      <c r="K16" s="38" t="str">
        <f>IFERROR(VLOOKUP(TRIM(D16),'JCR update_25.09.03'!$A:$H,6,FALSE),"-")</f>
        <v>-</v>
      </c>
    </row>
    <row r="17" spans="1:12">
      <c r="A17" s="41">
        <f t="shared" si="0"/>
        <v>16</v>
      </c>
      <c r="B17" s="7" t="s">
        <v>23</v>
      </c>
      <c r="C17" s="10" t="s">
        <v>48</v>
      </c>
      <c r="D17" s="5" t="s">
        <v>52</v>
      </c>
      <c r="E17" s="6">
        <v>2023</v>
      </c>
      <c r="F17" s="6" t="s">
        <v>190</v>
      </c>
      <c r="G17" s="6"/>
      <c r="H17" s="6" t="s">
        <v>70</v>
      </c>
      <c r="I17" s="6" t="s">
        <v>70</v>
      </c>
      <c r="J17" s="6" t="str">
        <f>IFERROR(VLOOKUP(TRIM(D17),'JCR update_25.09.03'!$A$2:$B$20,2,FALSE),"-")</f>
        <v>-</v>
      </c>
      <c r="K17" s="38" t="str">
        <f>IFERROR(VLOOKUP(TRIM(D17),'JCR update_25.09.03'!$A:$H,6,FALSE),"-")</f>
        <v>-</v>
      </c>
    </row>
    <row r="18" spans="1:12">
      <c r="A18" s="44">
        <f t="shared" si="0"/>
        <v>17</v>
      </c>
      <c r="B18" s="43" t="s">
        <v>6</v>
      </c>
      <c r="C18" s="37" t="s">
        <v>50</v>
      </c>
      <c r="D18" s="42" t="s">
        <v>15</v>
      </c>
      <c r="E18" s="10" t="s">
        <v>75</v>
      </c>
      <c r="F18" s="10" t="s">
        <v>181</v>
      </c>
      <c r="G18" s="10" t="s">
        <v>191</v>
      </c>
      <c r="H18" s="10">
        <v>3</v>
      </c>
      <c r="I18" s="10" t="s">
        <v>87</v>
      </c>
      <c r="J18" s="10">
        <f>IFERROR(VLOOKUP(TRIM(D18),'JCR update_25.09.03'!$A$2:$B$20,2,FALSE),"-")</f>
        <v>10.9</v>
      </c>
      <c r="K18" s="45">
        <f>IFERROR(VLOOKUP(TRIM(D18),'JCR update_25.09.03'!$A:$H,6,FALSE),"-")</f>
        <v>2.3391812865497075</v>
      </c>
      <c r="L18" s="40" t="s">
        <v>143</v>
      </c>
    </row>
    <row r="19" spans="1:12">
      <c r="A19" s="41">
        <f t="shared" si="0"/>
        <v>18</v>
      </c>
      <c r="B19" s="7" t="s">
        <v>24</v>
      </c>
      <c r="C19" s="10" t="s">
        <v>48</v>
      </c>
      <c r="D19" s="5" t="s">
        <v>54</v>
      </c>
      <c r="E19" s="6">
        <v>2023</v>
      </c>
      <c r="F19" s="6" t="s">
        <v>192</v>
      </c>
      <c r="G19" s="6" t="s">
        <v>193</v>
      </c>
      <c r="H19" s="6" t="s">
        <v>70</v>
      </c>
      <c r="I19" s="6" t="s">
        <v>70</v>
      </c>
      <c r="J19" s="6" t="str">
        <f>IFERROR(VLOOKUP(TRIM(D19),'JCR update_25.09.03'!$A$2:$B$20,2,FALSE),"-")</f>
        <v>-</v>
      </c>
      <c r="K19" s="38" t="str">
        <f>IFERROR(VLOOKUP(TRIM(D19),'JCR update_25.09.03'!$A:$H,6,FALSE),"-")</f>
        <v>-</v>
      </c>
    </row>
    <row r="20" spans="1:12">
      <c r="A20" s="44">
        <f t="shared" si="0"/>
        <v>19</v>
      </c>
      <c r="B20" s="43" t="s">
        <v>1</v>
      </c>
      <c r="C20" s="37" t="s">
        <v>50</v>
      </c>
      <c r="D20" s="42" t="s">
        <v>55</v>
      </c>
      <c r="E20" s="10" t="s">
        <v>76</v>
      </c>
      <c r="F20" s="10" t="s">
        <v>171</v>
      </c>
      <c r="G20" s="10" t="s">
        <v>194</v>
      </c>
      <c r="H20" s="10">
        <v>3</v>
      </c>
      <c r="I20" s="10" t="s">
        <v>88</v>
      </c>
      <c r="J20" s="10">
        <f>IFERROR(VLOOKUP(TRIM(D20),'JCR update_25.09.03'!$A$2:$B$20,2,FALSE),"-")</f>
        <v>10.9</v>
      </c>
      <c r="K20" s="45">
        <f>IFERROR(VLOOKUP(TRIM(D20),'JCR update_25.09.03'!$A:$H,6,FALSE),"-")</f>
        <v>2.3391812865497075</v>
      </c>
      <c r="L20" s="40" t="s">
        <v>142</v>
      </c>
    </row>
    <row r="21" spans="1:12">
      <c r="A21" s="44">
        <f t="shared" si="0"/>
        <v>20</v>
      </c>
      <c r="B21" s="43" t="s">
        <v>13</v>
      </c>
      <c r="C21" s="37" t="s">
        <v>50</v>
      </c>
      <c r="D21" s="42" t="s">
        <v>14</v>
      </c>
      <c r="E21" s="10" t="s">
        <v>77</v>
      </c>
      <c r="F21" s="10" t="s">
        <v>181</v>
      </c>
      <c r="G21" s="10" t="s">
        <v>195</v>
      </c>
      <c r="H21" s="10">
        <v>3</v>
      </c>
      <c r="I21" s="10" t="s">
        <v>87</v>
      </c>
      <c r="J21" s="10">
        <f>IFERROR(VLOOKUP(TRIM(D21),'JCR update_25.09.03'!$A$2:$B$20,2,FALSE),"-")</f>
        <v>6.9</v>
      </c>
      <c r="K21" s="45">
        <f>IFERROR(VLOOKUP(TRIM(D21),'JCR update_25.09.03'!$A:$H,6,FALSE),"-")</f>
        <v>4.9450549450549453</v>
      </c>
      <c r="L21" s="40" t="s">
        <v>133</v>
      </c>
    </row>
    <row r="22" spans="1:12">
      <c r="A22" s="44">
        <f t="shared" si="0"/>
        <v>21</v>
      </c>
      <c r="B22" s="43" t="s">
        <v>2</v>
      </c>
      <c r="C22" s="37" t="s">
        <v>50</v>
      </c>
      <c r="D22" s="42" t="s">
        <v>14</v>
      </c>
      <c r="E22" s="10" t="s">
        <v>78</v>
      </c>
      <c r="F22" s="10" t="s">
        <v>171</v>
      </c>
      <c r="G22" s="10" t="s">
        <v>196</v>
      </c>
      <c r="H22" s="10">
        <v>3</v>
      </c>
      <c r="I22" s="10" t="s">
        <v>88</v>
      </c>
      <c r="J22" s="10">
        <f>IFERROR(VLOOKUP(TRIM(D22),'JCR update_25.09.03'!$A$2:$B$20,2,FALSE),"-")</f>
        <v>6.9</v>
      </c>
      <c r="K22" s="45">
        <f>IFERROR(VLOOKUP(TRIM(D22),'JCR update_25.09.03'!$A:$H,6,FALSE),"-")</f>
        <v>4.9450549450549453</v>
      </c>
      <c r="L22" s="40" t="s">
        <v>132</v>
      </c>
    </row>
    <row r="23" spans="1:12">
      <c r="A23" s="44">
        <f t="shared" si="0"/>
        <v>22</v>
      </c>
      <c r="B23" s="43" t="s">
        <v>12</v>
      </c>
      <c r="C23" s="37" t="s">
        <v>50</v>
      </c>
      <c r="D23" s="42" t="s">
        <v>9</v>
      </c>
      <c r="E23" s="10" t="s">
        <v>79</v>
      </c>
      <c r="F23" s="10" t="s">
        <v>197</v>
      </c>
      <c r="G23" s="10" t="s">
        <v>198</v>
      </c>
      <c r="H23" s="10">
        <v>4</v>
      </c>
      <c r="I23" s="10" t="s">
        <v>87</v>
      </c>
      <c r="J23" s="10">
        <f>IFERROR(VLOOKUP(TRIM(D23),'JCR update_25.09.03'!$A$2:$B$20,2,FALSE),"-")</f>
        <v>9.1</v>
      </c>
      <c r="K23" s="45">
        <f>IFERROR(VLOOKUP(TRIM(D23),'JCR update_25.09.03'!$A:$H,6,FALSE),"-")</f>
        <v>17.647058823529413</v>
      </c>
      <c r="L23" s="40" t="s">
        <v>145</v>
      </c>
    </row>
    <row r="24" spans="1:12">
      <c r="A24" s="41">
        <f t="shared" si="0"/>
        <v>23</v>
      </c>
      <c r="B24" s="7" t="s">
        <v>25</v>
      </c>
      <c r="C24" s="10" t="s">
        <v>48</v>
      </c>
      <c r="D24" s="5" t="s">
        <v>56</v>
      </c>
      <c r="E24" s="6">
        <v>2022</v>
      </c>
      <c r="F24" s="6" t="s">
        <v>199</v>
      </c>
      <c r="G24" s="6"/>
      <c r="H24" s="6" t="s">
        <v>70</v>
      </c>
      <c r="I24" s="6" t="s">
        <v>70</v>
      </c>
      <c r="J24" s="6" t="str">
        <f>IFERROR(VLOOKUP(TRIM(D24),'JCR update_25.09.03'!$A$2:$B$20,2,FALSE),"-")</f>
        <v>-</v>
      </c>
      <c r="K24" s="38" t="str">
        <f>IFERROR(VLOOKUP(TRIM(D24),'JCR update_25.09.03'!$A:$H,6,FALSE),"-")</f>
        <v>-</v>
      </c>
    </row>
    <row r="25" spans="1:12">
      <c r="A25" s="44">
        <f t="shared" si="0"/>
        <v>24</v>
      </c>
      <c r="B25" s="43" t="s">
        <v>26</v>
      </c>
      <c r="C25" s="37" t="s">
        <v>50</v>
      </c>
      <c r="D25" s="42" t="s">
        <v>57</v>
      </c>
      <c r="E25" s="10" t="s">
        <v>80</v>
      </c>
      <c r="F25" s="10" t="s">
        <v>181</v>
      </c>
      <c r="G25" s="10" t="s">
        <v>200</v>
      </c>
      <c r="H25" s="10">
        <v>3</v>
      </c>
      <c r="I25" s="10" t="s">
        <v>87</v>
      </c>
      <c r="J25" s="10">
        <f>IFERROR(VLOOKUP(TRIM(D25),'JCR update_25.09.03'!$A$2:$B$20,2,FALSE),"-")</f>
        <v>10.9</v>
      </c>
      <c r="K25" s="45">
        <f>IFERROR(VLOOKUP(TRIM(D25),'JCR update_25.09.03'!$A:$H,6,FALSE),"-")</f>
        <v>2.3391812865497075</v>
      </c>
      <c r="L25" s="40" t="s">
        <v>141</v>
      </c>
    </row>
    <row r="26" spans="1:12">
      <c r="A26" s="41">
        <f t="shared" si="0"/>
        <v>25</v>
      </c>
      <c r="B26" s="7" t="s">
        <v>27</v>
      </c>
      <c r="C26" s="10" t="s">
        <v>48</v>
      </c>
      <c r="D26" s="5" t="s">
        <v>54</v>
      </c>
      <c r="E26" s="6">
        <v>2022</v>
      </c>
      <c r="F26" s="6" t="s">
        <v>201</v>
      </c>
      <c r="G26" s="6" t="s">
        <v>202</v>
      </c>
      <c r="H26" s="6" t="s">
        <v>70</v>
      </c>
      <c r="I26" s="6" t="s">
        <v>70</v>
      </c>
      <c r="J26" s="6" t="str">
        <f>IFERROR(VLOOKUP(TRIM(D26),'JCR update_25.09.03'!$A$2:$B$20,2,FALSE),"-")</f>
        <v>-</v>
      </c>
      <c r="K26" s="38" t="str">
        <f>IFERROR(VLOOKUP(TRIM(D26),'JCR update_25.09.03'!$A:$H,6,FALSE),"-")</f>
        <v>-</v>
      </c>
    </row>
    <row r="27" spans="1:12">
      <c r="A27" s="44">
        <f t="shared" si="0"/>
        <v>26</v>
      </c>
      <c r="B27" s="43" t="s">
        <v>28</v>
      </c>
      <c r="C27" s="37" t="s">
        <v>50</v>
      </c>
      <c r="D27" s="42" t="s">
        <v>14</v>
      </c>
      <c r="E27" s="10" t="s">
        <v>81</v>
      </c>
      <c r="F27" s="10" t="s">
        <v>203</v>
      </c>
      <c r="G27" s="10" t="s">
        <v>204</v>
      </c>
      <c r="H27" s="10">
        <v>4</v>
      </c>
      <c r="I27" s="10" t="s">
        <v>87</v>
      </c>
      <c r="J27" s="10">
        <f>IFERROR(VLOOKUP(TRIM(D27),'JCR update_25.09.03'!$A$2:$B$20,2,FALSE),"-")</f>
        <v>6.9</v>
      </c>
      <c r="K27" s="45">
        <f>IFERROR(VLOOKUP(TRIM(D27),'JCR update_25.09.03'!$A:$H,6,FALSE),"-")</f>
        <v>4.9450549450549453</v>
      </c>
      <c r="L27" s="40" t="s">
        <v>131</v>
      </c>
    </row>
    <row r="28" spans="1:12">
      <c r="A28" s="44">
        <f t="shared" si="0"/>
        <v>27</v>
      </c>
      <c r="B28" s="43" t="s">
        <v>29</v>
      </c>
      <c r="C28" s="37" t="s">
        <v>50</v>
      </c>
      <c r="D28" s="42" t="s">
        <v>14</v>
      </c>
      <c r="E28" s="10" t="s">
        <v>82</v>
      </c>
      <c r="F28" s="10" t="s">
        <v>181</v>
      </c>
      <c r="G28" s="10" t="s">
        <v>205</v>
      </c>
      <c r="H28" s="10">
        <v>3</v>
      </c>
      <c r="I28" s="10" t="s">
        <v>87</v>
      </c>
      <c r="J28" s="10">
        <f>IFERROR(VLOOKUP(TRIM(D28),'JCR update_25.09.03'!$A$2:$B$20,2,FALSE),"-")</f>
        <v>6.9</v>
      </c>
      <c r="K28" s="45">
        <f>IFERROR(VLOOKUP(TRIM(D28),'JCR update_25.09.03'!$A:$H,6,FALSE),"-")</f>
        <v>4.9450549450549453</v>
      </c>
      <c r="L28" s="40" t="s">
        <v>130</v>
      </c>
    </row>
    <row r="29" spans="1:12">
      <c r="A29" s="44">
        <f t="shared" si="0"/>
        <v>28</v>
      </c>
      <c r="B29" s="43" t="s">
        <v>30</v>
      </c>
      <c r="C29" s="37" t="s">
        <v>50</v>
      </c>
      <c r="D29" s="42" t="s">
        <v>15</v>
      </c>
      <c r="E29" s="10" t="s">
        <v>83</v>
      </c>
      <c r="F29" s="10" t="s">
        <v>171</v>
      </c>
      <c r="G29" s="10" t="s">
        <v>206</v>
      </c>
      <c r="H29" s="10">
        <v>3</v>
      </c>
      <c r="I29" s="10" t="s">
        <v>88</v>
      </c>
      <c r="J29" s="10">
        <f>IFERROR(VLOOKUP(TRIM(D29),'JCR update_25.09.03'!$A$2:$B$20,2,FALSE),"-")</f>
        <v>10.9</v>
      </c>
      <c r="K29" s="45">
        <f>IFERROR(VLOOKUP(TRIM(D29),'JCR update_25.09.03'!$A:$H,6,FALSE),"-")</f>
        <v>2.3391812865497075</v>
      </c>
      <c r="L29" s="40" t="s">
        <v>140</v>
      </c>
    </row>
    <row r="30" spans="1:12">
      <c r="A30" s="41">
        <f t="shared" si="0"/>
        <v>29</v>
      </c>
      <c r="B30" s="7" t="s">
        <v>31</v>
      </c>
      <c r="C30" s="10" t="s">
        <v>48</v>
      </c>
      <c r="D30" s="5" t="s">
        <v>58</v>
      </c>
      <c r="E30" s="6">
        <v>2021</v>
      </c>
      <c r="F30" s="6" t="s">
        <v>207</v>
      </c>
      <c r="G30" s="6" t="s">
        <v>208</v>
      </c>
      <c r="H30" s="6" t="s">
        <v>70</v>
      </c>
      <c r="I30" s="6" t="s">
        <v>70</v>
      </c>
      <c r="J30" s="6" t="str">
        <f>IFERROR(VLOOKUP(TRIM(D30),'JCR update_25.09.03'!$A$2:$B$20,2,FALSE),"-")</f>
        <v>-</v>
      </c>
      <c r="K30" s="38" t="str">
        <f>IFERROR(VLOOKUP(TRIM(D30),'JCR update_25.09.03'!$A:$H,6,FALSE),"-")</f>
        <v>-</v>
      </c>
    </row>
    <row r="31" spans="1:12">
      <c r="A31" s="41">
        <f t="shared" si="0"/>
        <v>30</v>
      </c>
      <c r="B31" s="7" t="s">
        <v>32</v>
      </c>
      <c r="C31" s="10" t="s">
        <v>48</v>
      </c>
      <c r="D31" s="5" t="s">
        <v>58</v>
      </c>
      <c r="E31" s="6">
        <v>2021</v>
      </c>
      <c r="F31" s="6" t="s">
        <v>209</v>
      </c>
      <c r="G31" s="6" t="s">
        <v>210</v>
      </c>
      <c r="H31" s="6" t="s">
        <v>70</v>
      </c>
      <c r="I31" s="6" t="s">
        <v>70</v>
      </c>
      <c r="J31" s="6" t="str">
        <f>IFERROR(VLOOKUP(TRIM(D31),'JCR update_25.09.03'!$A$2:$B$20,2,FALSE),"-")</f>
        <v>-</v>
      </c>
      <c r="K31" s="38" t="str">
        <f>IFERROR(VLOOKUP(TRIM(D31),'JCR update_25.09.03'!$A:$H,6,FALSE),"-")</f>
        <v>-</v>
      </c>
    </row>
    <row r="32" spans="1:12">
      <c r="A32" s="41">
        <f t="shared" si="0"/>
        <v>31</v>
      </c>
      <c r="B32" s="7" t="s">
        <v>33</v>
      </c>
      <c r="C32" s="10" t="s">
        <v>48</v>
      </c>
      <c r="D32" s="5" t="s">
        <v>59</v>
      </c>
      <c r="E32" s="6">
        <v>2019</v>
      </c>
      <c r="F32" s="6" t="s">
        <v>211</v>
      </c>
      <c r="G32" s="6" t="s">
        <v>212</v>
      </c>
      <c r="H32" s="6" t="s">
        <v>70</v>
      </c>
      <c r="I32" s="6" t="s">
        <v>70</v>
      </c>
      <c r="J32" s="6" t="str">
        <f>IFERROR(VLOOKUP(TRIM(D32),'JCR update_25.09.03'!$A$2:$B$20,2,FALSE),"-")</f>
        <v>-</v>
      </c>
      <c r="K32" s="38" t="str">
        <f>IFERROR(VLOOKUP(TRIM(D32),'JCR update_25.09.03'!$A:$H,6,FALSE),"-")</f>
        <v>-</v>
      </c>
    </row>
    <row r="33" spans="1:12">
      <c r="A33" s="44">
        <f t="shared" si="0"/>
        <v>32</v>
      </c>
      <c r="B33" s="43" t="s">
        <v>34</v>
      </c>
      <c r="C33" s="37" t="s">
        <v>50</v>
      </c>
      <c r="D33" s="42" t="s">
        <v>104</v>
      </c>
      <c r="E33" s="10" t="s">
        <v>84</v>
      </c>
      <c r="F33" s="10" t="s">
        <v>213</v>
      </c>
      <c r="G33" s="10" t="s">
        <v>214</v>
      </c>
      <c r="H33" s="10">
        <v>3</v>
      </c>
      <c r="I33" s="10" t="s">
        <v>88</v>
      </c>
      <c r="J33" s="10">
        <f>IFERROR(VLOOKUP(TRIM(D33),'JCR update_25.09.03'!$A$2:$B$20,2,FALSE),"-")</f>
        <v>9.4</v>
      </c>
      <c r="K33" s="45">
        <f>IFERROR(VLOOKUP(TRIM(D33),'JCR update_25.09.03'!$A:$H,6,FALSE),"-")</f>
        <v>3.7974683544303796</v>
      </c>
      <c r="L33" s="40" t="s">
        <v>144</v>
      </c>
    </row>
    <row r="34" spans="1:12">
      <c r="A34" s="44">
        <f t="shared" si="0"/>
        <v>33</v>
      </c>
      <c r="B34" s="43" t="s">
        <v>35</v>
      </c>
      <c r="C34" s="37" t="s">
        <v>50</v>
      </c>
      <c r="D34" s="42" t="s">
        <v>14</v>
      </c>
      <c r="E34" s="10" t="s">
        <v>85</v>
      </c>
      <c r="F34" s="10" t="s">
        <v>181</v>
      </c>
      <c r="G34" s="10" t="s">
        <v>215</v>
      </c>
      <c r="H34" s="10">
        <v>3</v>
      </c>
      <c r="I34" s="10" t="s">
        <v>87</v>
      </c>
      <c r="J34" s="10">
        <f>IFERROR(VLOOKUP(TRIM(D34),'JCR update_25.09.03'!$A$2:$B$20,2,FALSE),"-")</f>
        <v>6.9</v>
      </c>
      <c r="K34" s="45">
        <f>IFERROR(VLOOKUP(TRIM(D34),'JCR update_25.09.03'!$A:$H,6,FALSE),"-")</f>
        <v>4.9450549450549453</v>
      </c>
      <c r="L34" s="40" t="s">
        <v>129</v>
      </c>
    </row>
    <row r="35" spans="1:12">
      <c r="A35" s="41">
        <f t="shared" si="0"/>
        <v>34</v>
      </c>
      <c r="B35" s="7" t="s">
        <v>36</v>
      </c>
      <c r="C35" s="10" t="s">
        <v>48</v>
      </c>
      <c r="D35" s="5" t="s">
        <v>60</v>
      </c>
      <c r="E35" s="6">
        <v>2019</v>
      </c>
      <c r="F35" s="6" t="s">
        <v>216</v>
      </c>
      <c r="G35" s="6"/>
      <c r="H35" s="6" t="s">
        <v>70</v>
      </c>
      <c r="I35" s="6" t="s">
        <v>70</v>
      </c>
      <c r="J35" s="6" t="str">
        <f>IFERROR(VLOOKUP(TRIM(D35),'JCR update_25.09.03'!$A$2:$B$20,2,FALSE),"-")</f>
        <v>-</v>
      </c>
      <c r="K35" s="38" t="str">
        <f>IFERROR(VLOOKUP(TRIM(D35),'JCR update_25.09.03'!$A:$H,6,FALSE),"-")</f>
        <v>-</v>
      </c>
    </row>
    <row r="36" spans="1:12">
      <c r="A36" s="41">
        <f t="shared" si="0"/>
        <v>35</v>
      </c>
      <c r="B36" s="7" t="s">
        <v>37</v>
      </c>
      <c r="C36" s="10" t="s">
        <v>48</v>
      </c>
      <c r="D36" s="5" t="s">
        <v>53</v>
      </c>
      <c r="E36" s="6">
        <v>2019</v>
      </c>
      <c r="F36" s="6" t="s">
        <v>217</v>
      </c>
      <c r="G36" s="6" t="s">
        <v>218</v>
      </c>
      <c r="H36" s="6" t="s">
        <v>70</v>
      </c>
      <c r="I36" s="6" t="s">
        <v>70</v>
      </c>
      <c r="J36" s="6" t="str">
        <f>IFERROR(VLOOKUP(TRIM(D36),'JCR update_25.09.03'!$A$2:$B$20,2,FALSE),"-")</f>
        <v>-</v>
      </c>
      <c r="K36" s="38" t="str">
        <f>IFERROR(VLOOKUP(TRIM(D36),'JCR update_25.09.03'!$A:$H,6,FALSE),"-")</f>
        <v>-</v>
      </c>
    </row>
    <row r="37" spans="1:12">
      <c r="A37" s="41">
        <f t="shared" si="0"/>
        <v>36</v>
      </c>
      <c r="B37" s="7" t="s">
        <v>38</v>
      </c>
      <c r="C37" s="10" t="s">
        <v>48</v>
      </c>
      <c r="D37" s="5" t="s">
        <v>61</v>
      </c>
      <c r="E37" s="6">
        <v>2019</v>
      </c>
      <c r="F37" s="6" t="s">
        <v>219</v>
      </c>
      <c r="G37" s="6"/>
      <c r="H37" s="6" t="s">
        <v>70</v>
      </c>
      <c r="I37" s="6" t="s">
        <v>70</v>
      </c>
      <c r="J37" s="6" t="str">
        <f>IFERROR(VLOOKUP(TRIM(D37),'JCR update_25.09.03'!$A$2:$B$20,2,FALSE),"-")</f>
        <v>-</v>
      </c>
      <c r="K37" s="38" t="str">
        <f>IFERROR(VLOOKUP(TRIM(D37),'JCR update_25.09.03'!$A:$H,6,FALSE),"-")</f>
        <v>-</v>
      </c>
    </row>
    <row r="38" spans="1:12">
      <c r="A38" s="41">
        <f t="shared" si="0"/>
        <v>37</v>
      </c>
      <c r="B38" s="7" t="s">
        <v>39</v>
      </c>
      <c r="C38" s="10" t="s">
        <v>48</v>
      </c>
      <c r="D38" s="5" t="s">
        <v>59</v>
      </c>
      <c r="E38" s="6">
        <v>2019</v>
      </c>
      <c r="F38" s="6" t="s">
        <v>211</v>
      </c>
      <c r="G38" s="6"/>
      <c r="H38" s="6" t="s">
        <v>70</v>
      </c>
      <c r="I38" s="6" t="s">
        <v>70</v>
      </c>
      <c r="J38" s="6" t="str">
        <f>IFERROR(VLOOKUP(TRIM(D38),'JCR update_25.09.03'!$A$2:$B$20,2,FALSE),"-")</f>
        <v>-</v>
      </c>
      <c r="K38" s="38" t="str">
        <f>IFERROR(VLOOKUP(TRIM(D38),'JCR update_25.09.03'!$A:$H,6,FALSE),"-")</f>
        <v>-</v>
      </c>
    </row>
    <row r="39" spans="1:12">
      <c r="A39" s="44">
        <f t="shared" si="0"/>
        <v>38</v>
      </c>
      <c r="B39" s="43" t="s">
        <v>40</v>
      </c>
      <c r="C39" s="37" t="s">
        <v>50</v>
      </c>
      <c r="D39" s="42" t="s">
        <v>128</v>
      </c>
      <c r="E39" s="10" t="s">
        <v>86</v>
      </c>
      <c r="F39" s="10" t="s">
        <v>220</v>
      </c>
      <c r="G39" s="10" t="s">
        <v>221</v>
      </c>
      <c r="H39" s="10">
        <v>3</v>
      </c>
      <c r="I39" s="10" t="s">
        <v>87</v>
      </c>
      <c r="J39" s="10">
        <f>IFERROR(VLOOKUP(TRIM(D39),'JCR update_25.09.03'!$A$2:$B$20,2,FALSE),"-")</f>
        <v>3.2</v>
      </c>
      <c r="K39" s="45">
        <f>IFERROR(VLOOKUP(TRIM(D39),'JCR update_25.09.03'!$A:$H,6,FALSE),"-")</f>
        <v>61.53846153846154</v>
      </c>
      <c r="L39" s="40" t="s">
        <v>127</v>
      </c>
    </row>
    <row r="40" spans="1:12">
      <c r="A40" s="41">
        <f t="shared" si="0"/>
        <v>39</v>
      </c>
      <c r="B40" s="7" t="s">
        <v>41</v>
      </c>
      <c r="C40" s="10" t="s">
        <v>48</v>
      </c>
      <c r="D40" s="5" t="s">
        <v>63</v>
      </c>
      <c r="E40" s="6">
        <v>2018</v>
      </c>
      <c r="F40" s="6" t="s">
        <v>222</v>
      </c>
      <c r="G40" s="6"/>
      <c r="H40" s="6" t="s">
        <v>70</v>
      </c>
      <c r="I40" s="6" t="s">
        <v>70</v>
      </c>
      <c r="J40" s="6" t="str">
        <f>IFERROR(VLOOKUP(TRIM(D40),'JCR update_25.09.03'!$A$2:$B$20,2,FALSE),"-")</f>
        <v>-</v>
      </c>
      <c r="K40" s="38" t="str">
        <f>IFERROR(VLOOKUP(TRIM(D40),'JCR update_25.09.03'!$A:$H,6,FALSE),"-")</f>
        <v>-</v>
      </c>
    </row>
    <row r="41" spans="1:12">
      <c r="A41" s="41">
        <f t="shared" si="0"/>
        <v>40</v>
      </c>
      <c r="B41" s="7" t="s">
        <v>42</v>
      </c>
      <c r="C41" s="10" t="s">
        <v>48</v>
      </c>
      <c r="D41" s="5" t="s">
        <v>64</v>
      </c>
      <c r="E41" s="6">
        <v>2018</v>
      </c>
      <c r="F41" s="6" t="s">
        <v>222</v>
      </c>
      <c r="G41" s="6" t="s">
        <v>223</v>
      </c>
      <c r="H41" s="6" t="s">
        <v>70</v>
      </c>
      <c r="I41" s="6" t="s">
        <v>70</v>
      </c>
      <c r="J41" s="6" t="str">
        <f>IFERROR(VLOOKUP(TRIM(D41),'JCR update_25.09.03'!$A$2:$B$20,2,FALSE),"-")</f>
        <v>-</v>
      </c>
      <c r="K41" s="38" t="str">
        <f>IFERROR(VLOOKUP(TRIM(D41),'JCR update_25.09.03'!$A:$H,6,FALSE),"-")</f>
        <v>-</v>
      </c>
    </row>
    <row r="42" spans="1:12">
      <c r="A42" s="41">
        <f t="shared" si="0"/>
        <v>41</v>
      </c>
      <c r="B42" s="7" t="s">
        <v>43</v>
      </c>
      <c r="C42" s="10" t="s">
        <v>48</v>
      </c>
      <c r="D42" s="5" t="s">
        <v>65</v>
      </c>
      <c r="E42" s="6">
        <v>2018</v>
      </c>
      <c r="F42" s="6" t="s">
        <v>219</v>
      </c>
      <c r="G42" s="6"/>
      <c r="H42" s="6" t="s">
        <v>70</v>
      </c>
      <c r="I42" s="6" t="s">
        <v>70</v>
      </c>
      <c r="J42" s="6" t="str">
        <f>IFERROR(VLOOKUP(TRIM(D42),'JCR update_25.09.03'!$A$2:$B$20,2,FALSE),"-")</f>
        <v>-</v>
      </c>
      <c r="K42" s="38" t="str">
        <f>IFERROR(VLOOKUP(TRIM(D42),'JCR update_25.09.03'!$A:$H,6,FALSE),"-")</f>
        <v>-</v>
      </c>
    </row>
    <row r="43" spans="1:12">
      <c r="A43" s="41">
        <f t="shared" si="0"/>
        <v>42</v>
      </c>
      <c r="B43" s="7" t="s">
        <v>44</v>
      </c>
      <c r="C43" s="10" t="s">
        <v>48</v>
      </c>
      <c r="D43" s="5" t="s">
        <v>65</v>
      </c>
      <c r="E43" s="6">
        <v>2018</v>
      </c>
      <c r="F43" s="6" t="s">
        <v>224</v>
      </c>
      <c r="G43" s="6"/>
      <c r="H43" s="6" t="s">
        <v>70</v>
      </c>
      <c r="I43" s="6" t="s">
        <v>70</v>
      </c>
      <c r="J43" s="6" t="str">
        <f>IFERROR(VLOOKUP(TRIM(D43),'JCR update_25.09.03'!$A$2:$B$20,2,FALSE),"-")</f>
        <v>-</v>
      </c>
      <c r="K43" s="38" t="str">
        <f>IFERROR(VLOOKUP(TRIM(D43),'JCR update_25.09.03'!$A:$H,6,FALSE),"-")</f>
        <v>-</v>
      </c>
    </row>
    <row r="44" spans="1:12">
      <c r="A44" s="41">
        <f t="shared" si="0"/>
        <v>43</v>
      </c>
      <c r="B44" s="7" t="s">
        <v>45</v>
      </c>
      <c r="C44" s="10" t="s">
        <v>48</v>
      </c>
      <c r="D44" s="5" t="s">
        <v>66</v>
      </c>
      <c r="E44" s="6">
        <v>2017</v>
      </c>
      <c r="F44" s="6" t="s">
        <v>225</v>
      </c>
      <c r="G44" s="6" t="s">
        <v>226</v>
      </c>
      <c r="H44" s="6" t="s">
        <v>70</v>
      </c>
      <c r="I44" s="6" t="s">
        <v>70</v>
      </c>
      <c r="J44" s="6" t="str">
        <f>IFERROR(VLOOKUP(TRIM(D44),'JCR update_25.09.03'!$A$2:$B$20,2,FALSE),"-")</f>
        <v>-</v>
      </c>
      <c r="K44" s="38" t="str">
        <f>IFERROR(VLOOKUP(TRIM(D44),'JCR update_25.09.03'!$A:$H,6,FALSE),"-")</f>
        <v>-</v>
      </c>
    </row>
    <row r="46" spans="1:12">
      <c r="B46" s="9" t="s">
        <v>50</v>
      </c>
      <c r="C46" s="1">
        <f>COUNTIF(C4:C39,"Journal paper")</f>
        <v>21</v>
      </c>
    </row>
    <row r="47" spans="1:12">
      <c r="B47" s="9" t="s">
        <v>48</v>
      </c>
      <c r="C47" s="1">
        <f>COUNTIF(C4:C39,"Conference paper")</f>
        <v>15</v>
      </c>
    </row>
    <row r="48" spans="1:12">
      <c r="B48" s="9" t="s">
        <v>94</v>
      </c>
      <c r="C48" s="1">
        <f>COUNTA(C4:C39)</f>
        <v>36</v>
      </c>
    </row>
  </sheetData>
  <autoFilter ref="A1:K44" xr:uid="{56C1F257-E950-4B3B-ADE8-D760AB7D592E}"/>
  <phoneticPr fontId="2" type="noConversion"/>
  <hyperlinks>
    <hyperlink ref="L39" r:id="rId1" xr:uid="{C6790CD6-D13D-4C80-8C82-9003F1904202}"/>
    <hyperlink ref="L34" r:id="rId2" xr:uid="{E3330F74-ED46-4B3E-979E-C7323BB48314}"/>
    <hyperlink ref="L28" r:id="rId3" xr:uid="{673E413C-7D9F-4B1F-BC65-965E6BF5D000}"/>
    <hyperlink ref="L27" r:id="rId4" xr:uid="{88F7E9A3-AF44-4E0A-9DF6-279464C4C3C9}"/>
    <hyperlink ref="L22" r:id="rId5" xr:uid="{40E14E1D-14CE-4570-862A-A5D7AC30F0B2}"/>
    <hyperlink ref="L21" r:id="rId6" xr:uid="{D9746F13-6151-49DE-ABE7-C51D1BD4A9EA}"/>
    <hyperlink ref="L15" r:id="rId7" xr:uid="{024CA9B8-FFAD-47DA-B0C0-79AF99697F12}"/>
    <hyperlink ref="L14" r:id="rId8" xr:uid="{3CC7D062-E67A-44BB-9D80-1429A7E7EEBD}"/>
    <hyperlink ref="L12" r:id="rId9" xr:uid="{C02C700F-0DF4-4FCE-8A1A-40E63F51F280}"/>
    <hyperlink ref="L7" r:id="rId10" xr:uid="{31DF79B9-C0C1-4376-81C0-EF30ABAC73ED}"/>
    <hyperlink ref="L4" r:id="rId11" xr:uid="{3E480B2A-3737-410A-B52D-A086A52C0C6E}"/>
    <hyperlink ref="L29" r:id="rId12" xr:uid="{99977EB8-6C01-4E56-968E-B02991915A6C}"/>
    <hyperlink ref="L25" r:id="rId13" xr:uid="{276B7A09-55DD-4B09-B7BA-AB5FCBDA17B0}"/>
    <hyperlink ref="L20" r:id="rId14" xr:uid="{C071C395-FB61-4CD2-9FFB-78DC13D3137E}"/>
    <hyperlink ref="L18" r:id="rId15" xr:uid="{E1CB7D26-0C80-4595-A5E1-31AC40E69649}"/>
    <hyperlink ref="L33" r:id="rId16" xr:uid="{E4F80D7A-94D6-4010-A900-706A4B48777E}"/>
    <hyperlink ref="L23" r:id="rId17" xr:uid="{5FBC4CED-32D3-4B50-94ED-D24FD8CED33F}"/>
    <hyperlink ref="L13" r:id="rId18" xr:uid="{34B64509-2ECE-4D50-AE59-10DD5AF18265}"/>
    <hyperlink ref="L11" r:id="rId19" xr:uid="{6F281A96-A61D-4F5D-A97C-636160D8F727}"/>
    <hyperlink ref="L6" r:id="rId20" xr:uid="{7D5A9BCC-1FED-4ED8-BB05-ABA7DD660FA3}"/>
    <hyperlink ref="L5" r:id="rId21" xr:uid="{4D72EEE6-C634-4A71-AE2C-D812D5F150A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29E2D-F443-4844-A3E1-C2638772E3D6}">
  <dimension ref="A1:M30"/>
  <sheetViews>
    <sheetView topLeftCell="F1" zoomScale="145" zoomScaleNormal="145" workbookViewId="0">
      <selection activeCell="K3" sqref="K3:M4"/>
    </sheetView>
  </sheetViews>
  <sheetFormatPr defaultRowHeight="17.399999999999999"/>
  <cols>
    <col min="1" max="1" width="27.09765625" bestFit="1" customWidth="1"/>
    <col min="3" max="3" width="16.296875" bestFit="1" customWidth="1"/>
    <col min="8" max="8" width="10.3984375" bestFit="1" customWidth="1"/>
    <col min="9" max="9" width="16" bestFit="1" customWidth="1"/>
    <col min="11" max="11" width="25.5" bestFit="1" customWidth="1"/>
    <col min="12" max="12" width="14.8984375" bestFit="1" customWidth="1"/>
    <col min="13" max="13" width="12.8984375" customWidth="1"/>
    <col min="14" max="14" width="13.19921875" bestFit="1" customWidth="1"/>
  </cols>
  <sheetData>
    <row r="1" spans="1:13">
      <c r="A1" s="47" t="s">
        <v>95</v>
      </c>
      <c r="B1" s="48"/>
      <c r="C1" s="48"/>
      <c r="D1" s="48"/>
      <c r="E1" s="48"/>
      <c r="F1" s="49"/>
      <c r="G1" s="15"/>
    </row>
    <row r="2" spans="1:13" ht="18" thickBot="1">
      <c r="A2" s="17" t="s">
        <v>47</v>
      </c>
      <c r="B2" s="17" t="s">
        <v>90</v>
      </c>
      <c r="C2" s="14" t="s">
        <v>112</v>
      </c>
      <c r="D2" s="17" t="s">
        <v>92</v>
      </c>
      <c r="E2" s="17" t="s">
        <v>93</v>
      </c>
      <c r="F2" s="17" t="s">
        <v>91</v>
      </c>
      <c r="G2" s="16" t="s">
        <v>101</v>
      </c>
      <c r="H2" s="14" t="s">
        <v>97</v>
      </c>
      <c r="K2" s="18" t="s">
        <v>47</v>
      </c>
      <c r="L2" s="19" t="s">
        <v>96</v>
      </c>
      <c r="M2" t="s">
        <v>91</v>
      </c>
    </row>
    <row r="3" spans="1:13">
      <c r="A3" s="5" t="s">
        <v>14</v>
      </c>
      <c r="B3" s="6">
        <v>6.9</v>
      </c>
      <c r="C3" s="3" t="s">
        <v>120</v>
      </c>
      <c r="D3" s="6">
        <v>9</v>
      </c>
      <c r="E3" s="6">
        <v>182</v>
      </c>
      <c r="F3" s="36">
        <v>4.9450549450549453</v>
      </c>
      <c r="G3" s="6" t="s">
        <v>125</v>
      </c>
      <c r="H3" s="3" t="s">
        <v>3</v>
      </c>
      <c r="K3" s="50" t="s">
        <v>62</v>
      </c>
      <c r="L3" s="26" t="s">
        <v>100</v>
      </c>
      <c r="M3" s="31" t="s">
        <v>100</v>
      </c>
    </row>
    <row r="4" spans="1:13" ht="18" thickBot="1">
      <c r="A4" s="5" t="s">
        <v>5</v>
      </c>
      <c r="B4" s="6">
        <v>7.4</v>
      </c>
      <c r="C4" s="3" t="s">
        <v>117</v>
      </c>
      <c r="D4" s="6">
        <v>10</v>
      </c>
      <c r="E4" s="6">
        <v>183</v>
      </c>
      <c r="F4" s="36">
        <v>5.4644808743169397</v>
      </c>
      <c r="G4" s="6" t="s">
        <v>125</v>
      </c>
      <c r="H4" s="3" t="s">
        <v>4</v>
      </c>
      <c r="K4" s="51"/>
      <c r="L4" s="32" t="s">
        <v>103</v>
      </c>
      <c r="M4" s="27">
        <f>112*100/182</f>
        <v>61.53846153846154</v>
      </c>
    </row>
    <row r="5" spans="1:13">
      <c r="A5" s="5" t="s">
        <v>9</v>
      </c>
      <c r="B5" s="6">
        <v>9.1</v>
      </c>
      <c r="C5" s="3" t="s">
        <v>113</v>
      </c>
      <c r="D5" s="6">
        <v>18</v>
      </c>
      <c r="E5" s="6">
        <v>102</v>
      </c>
      <c r="F5" s="36">
        <v>17.647058823529413</v>
      </c>
      <c r="G5" s="6" t="s">
        <v>125</v>
      </c>
      <c r="H5" s="3" t="s">
        <v>11</v>
      </c>
      <c r="K5" s="50" t="s">
        <v>104</v>
      </c>
      <c r="L5" s="20" t="s">
        <v>100</v>
      </c>
      <c r="M5" s="20" t="s">
        <v>100</v>
      </c>
    </row>
    <row r="6" spans="1:13">
      <c r="A6" s="5" t="s">
        <v>15</v>
      </c>
      <c r="B6" s="6">
        <v>10.9</v>
      </c>
      <c r="C6" s="3" t="s">
        <v>109</v>
      </c>
      <c r="D6" s="6">
        <v>4</v>
      </c>
      <c r="E6" s="6">
        <v>171</v>
      </c>
      <c r="F6" s="36">
        <v>2.3391812865497075</v>
      </c>
      <c r="G6" s="6" t="s">
        <v>125</v>
      </c>
      <c r="H6" s="3" t="s">
        <v>0</v>
      </c>
      <c r="K6" s="52"/>
      <c r="L6" s="22" t="s">
        <v>105</v>
      </c>
      <c r="M6" s="25">
        <f>100*31/182</f>
        <v>17.032967032967033</v>
      </c>
    </row>
    <row r="7" spans="1:13">
      <c r="A7" s="5" t="s">
        <v>104</v>
      </c>
      <c r="B7" s="6">
        <v>9.4</v>
      </c>
      <c r="C7" s="3" t="s">
        <v>106</v>
      </c>
      <c r="D7" s="6">
        <v>3</v>
      </c>
      <c r="E7" s="6">
        <v>79</v>
      </c>
      <c r="F7" s="36">
        <v>3.7974683544303796</v>
      </c>
      <c r="G7" s="6" t="s">
        <v>125</v>
      </c>
      <c r="H7" s="3" t="s">
        <v>98</v>
      </c>
      <c r="K7" s="52" t="s">
        <v>104</v>
      </c>
      <c r="L7" s="28" t="s">
        <v>106</v>
      </c>
      <c r="M7" s="33" t="s">
        <v>106</v>
      </c>
    </row>
    <row r="8" spans="1:13" ht="18" thickBot="1">
      <c r="A8" s="5" t="s">
        <v>128</v>
      </c>
      <c r="B8" s="6">
        <v>3.2</v>
      </c>
      <c r="C8" s="3" t="s">
        <v>100</v>
      </c>
      <c r="D8" s="6">
        <v>112</v>
      </c>
      <c r="E8" s="6">
        <v>182</v>
      </c>
      <c r="F8" s="36">
        <v>61.53846153846154</v>
      </c>
      <c r="G8" s="6" t="s">
        <v>102</v>
      </c>
      <c r="H8" s="3" t="s">
        <v>99</v>
      </c>
      <c r="K8" s="51"/>
      <c r="L8" s="32" t="s">
        <v>107</v>
      </c>
      <c r="M8" s="27">
        <f>100*3/79</f>
        <v>3.7974683544303796</v>
      </c>
    </row>
    <row r="9" spans="1:13">
      <c r="K9" s="50" t="s">
        <v>15</v>
      </c>
      <c r="L9" s="31" t="s">
        <v>109</v>
      </c>
      <c r="M9" s="31" t="s">
        <v>109</v>
      </c>
    </row>
    <row r="10" spans="1:13">
      <c r="K10" s="52"/>
      <c r="L10" s="34" t="s">
        <v>108</v>
      </c>
      <c r="M10" s="29">
        <f>100*4/171</f>
        <v>2.3391812865497075</v>
      </c>
    </row>
    <row r="11" spans="1:13">
      <c r="K11" s="52" t="s">
        <v>15</v>
      </c>
      <c r="L11" s="23" t="s">
        <v>100</v>
      </c>
      <c r="M11" s="23" t="s">
        <v>100</v>
      </c>
    </row>
    <row r="12" spans="1:13">
      <c r="K12" s="52"/>
      <c r="L12" s="22" t="s">
        <v>110</v>
      </c>
      <c r="M12" s="25">
        <f>100*21/182</f>
        <v>11.538461538461538</v>
      </c>
    </row>
    <row r="13" spans="1:13">
      <c r="K13" s="52" t="s">
        <v>15</v>
      </c>
      <c r="L13" s="23" t="s">
        <v>106</v>
      </c>
      <c r="M13" s="23" t="s">
        <v>106</v>
      </c>
    </row>
    <row r="14" spans="1:13" ht="18" thickBot="1">
      <c r="K14" s="51"/>
      <c r="L14" s="21" t="s">
        <v>111</v>
      </c>
      <c r="M14" s="24">
        <f>100*2/79</f>
        <v>2.5316455696202533</v>
      </c>
    </row>
    <row r="15" spans="1:13">
      <c r="K15" s="50" t="s">
        <v>9</v>
      </c>
      <c r="L15" s="20" t="s">
        <v>100</v>
      </c>
      <c r="M15" s="20" t="s">
        <v>100</v>
      </c>
    </row>
    <row r="16" spans="1:13">
      <c r="K16" s="52"/>
      <c r="L16" s="22" t="s">
        <v>115</v>
      </c>
      <c r="M16" s="25">
        <f>100*34/182</f>
        <v>18.681318681318682</v>
      </c>
    </row>
    <row r="17" spans="11:13">
      <c r="K17" s="52" t="s">
        <v>9</v>
      </c>
      <c r="L17" s="28" t="s">
        <v>113</v>
      </c>
      <c r="M17" s="33" t="s">
        <v>113</v>
      </c>
    </row>
    <row r="18" spans="11:13" ht="18" thickBot="1">
      <c r="K18" s="51"/>
      <c r="L18" s="32" t="s">
        <v>114</v>
      </c>
      <c r="M18" s="27">
        <f>100*18/102</f>
        <v>17.647058823529413</v>
      </c>
    </row>
    <row r="19" spans="11:13">
      <c r="K19" s="50" t="s">
        <v>5</v>
      </c>
      <c r="L19" s="20" t="s">
        <v>116</v>
      </c>
      <c r="M19" s="20" t="s">
        <v>116</v>
      </c>
    </row>
    <row r="20" spans="11:13">
      <c r="K20" s="52"/>
      <c r="L20" s="22" t="s">
        <v>119</v>
      </c>
      <c r="M20" s="25">
        <f>100*10/95</f>
        <v>10.526315789473685</v>
      </c>
    </row>
    <row r="21" spans="11:13">
      <c r="K21" s="52" t="s">
        <v>5</v>
      </c>
      <c r="L21" s="28" t="s">
        <v>117</v>
      </c>
      <c r="M21" s="33" t="s">
        <v>117</v>
      </c>
    </row>
    <row r="22" spans="11:13" ht="18" thickBot="1">
      <c r="K22" s="53"/>
      <c r="L22" s="35" t="s">
        <v>118</v>
      </c>
      <c r="M22" s="30">
        <f>100*10/183</f>
        <v>5.4644808743169397</v>
      </c>
    </row>
    <row r="23" spans="11:13">
      <c r="K23" s="50" t="s">
        <v>14</v>
      </c>
      <c r="L23" s="20" t="s">
        <v>100</v>
      </c>
      <c r="M23" s="20" t="s">
        <v>100</v>
      </c>
    </row>
    <row r="24" spans="11:13">
      <c r="K24" s="52"/>
      <c r="L24" s="22" t="s">
        <v>121</v>
      </c>
      <c r="M24" s="25">
        <f>100*50/182</f>
        <v>27.472527472527471</v>
      </c>
    </row>
    <row r="25" spans="11:13">
      <c r="K25" s="52" t="s">
        <v>14</v>
      </c>
      <c r="L25" s="28" t="s">
        <v>120</v>
      </c>
      <c r="M25" s="33" t="s">
        <v>120</v>
      </c>
    </row>
    <row r="26" spans="11:13">
      <c r="K26" s="52"/>
      <c r="L26" s="34" t="s">
        <v>122</v>
      </c>
      <c r="M26" s="29">
        <f>100*9/182</f>
        <v>4.9450549450549453</v>
      </c>
    </row>
    <row r="27" spans="11:13">
      <c r="K27" s="52" t="s">
        <v>14</v>
      </c>
      <c r="L27" s="23" t="s">
        <v>109</v>
      </c>
      <c r="M27" s="23" t="s">
        <v>109</v>
      </c>
    </row>
    <row r="28" spans="11:13">
      <c r="K28" s="52"/>
      <c r="L28" s="22" t="s">
        <v>123</v>
      </c>
      <c r="M28" s="25">
        <f>100*9/171</f>
        <v>5.2631578947368425</v>
      </c>
    </row>
    <row r="29" spans="11:13">
      <c r="K29" s="52" t="s">
        <v>14</v>
      </c>
      <c r="L29" s="23" t="s">
        <v>106</v>
      </c>
      <c r="M29" s="23" t="s">
        <v>106</v>
      </c>
    </row>
    <row r="30" spans="11:13" ht="18" thickBot="1">
      <c r="K30" s="51"/>
      <c r="L30" s="21" t="s">
        <v>124</v>
      </c>
      <c r="M30" s="24">
        <f>100*5/79</f>
        <v>6.3291139240506329</v>
      </c>
    </row>
  </sheetData>
  <mergeCells count="15">
    <mergeCell ref="K23:K24"/>
    <mergeCell ref="K25:K26"/>
    <mergeCell ref="K27:K28"/>
    <mergeCell ref="K29:K30"/>
    <mergeCell ref="K11:K12"/>
    <mergeCell ref="K13:K14"/>
    <mergeCell ref="K15:K16"/>
    <mergeCell ref="K17:K18"/>
    <mergeCell ref="K19:K20"/>
    <mergeCell ref="K21:K22"/>
    <mergeCell ref="A1:F1"/>
    <mergeCell ref="K3:K4"/>
    <mergeCell ref="K5:K6"/>
    <mergeCell ref="K7:K8"/>
    <mergeCell ref="K9:K10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논문 update_25.09.03</vt:lpstr>
      <vt:lpstr>JCR update_25.09.03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Seong-Yong Cheon</dc:creator>
  <cp:lastModifiedBy>Seong-Yong Cheon</cp:lastModifiedBy>
  <dcterms:created xsi:type="dcterms:W3CDTF">2024-11-17T02:37:45Z</dcterms:created>
  <dcterms:modified xsi:type="dcterms:W3CDTF">2025-12-12T07:10:06Z</dcterms:modified>
</cp:coreProperties>
</file>